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2038\OneDrive - University of New Haven\Desktop\vaatsalya\INDE 6681-02\"/>
    </mc:Choice>
  </mc:AlternateContent>
  <xr:revisionPtr revIDLastSave="0" documentId="8_{4567023B-AE26-40CA-B598-78CDE73E4B7A}" xr6:coauthVersionLast="47" xr6:coauthVersionMax="47" xr10:uidLastSave="{00000000-0000-0000-0000-000000000000}"/>
  <bookViews>
    <workbookView xWindow="24" yWindow="744" windowWidth="23016" windowHeight="1221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CounterStatsByRep!$A$1:$G$11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K12" i="20" s="1" a="1"/>
  <c r="K12" i="20" s="1"/>
  <c r="I8" i="20"/>
  <c r="L7" i="20" s="1" a="1"/>
  <c r="L7" i="20" s="1"/>
  <c r="I9" i="20"/>
  <c r="K4" i="20" s="1" a="1"/>
  <c r="K4" i="20" s="1"/>
  <c r="I10" i="20"/>
  <c r="I11" i="20"/>
  <c r="I12" i="20"/>
  <c r="I13" i="20"/>
  <c r="I14" i="20"/>
  <c r="I15" i="20"/>
  <c r="I16" i="20"/>
  <c r="I17" i="20"/>
  <c r="O17" i="20" s="1" a="1"/>
  <c r="O17" i="20" s="1"/>
  <c r="I18" i="20"/>
  <c r="I19" i="20"/>
  <c r="I20" i="20"/>
  <c r="I21" i="20"/>
  <c r="I22" i="20"/>
  <c r="I23" i="20"/>
  <c r="L23" i="20" s="1" a="1"/>
  <c r="L23" i="20" s="1"/>
  <c r="I24" i="20"/>
  <c r="K24" i="20" s="1" a="1"/>
  <c r="K24" i="20" s="1"/>
  <c r="I25" i="20"/>
  <c r="O25" i="20" s="1" a="1"/>
  <c r="O25" i="20" s="1"/>
  <c r="I26" i="20"/>
  <c r="J2" i="20" a="1"/>
  <c r="J2" i="20" s="1"/>
  <c r="J3" i="20" a="1"/>
  <c r="J3" i="20" s="1"/>
  <c r="J4" i="20" a="1"/>
  <c r="J4" i="20"/>
  <c r="J5" i="20" a="1"/>
  <c r="J5" i="20" s="1"/>
  <c r="J6" i="20" a="1"/>
  <c r="J6" i="20" s="1"/>
  <c r="J7" i="20" a="1"/>
  <c r="J7" i="20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/>
  <c r="J16" i="20" a="1"/>
  <c r="J16" i="20"/>
  <c r="J17" i="20" a="1"/>
  <c r="J17" i="20" s="1"/>
  <c r="J18" i="20" a="1"/>
  <c r="J18" i="20" s="1"/>
  <c r="J19" i="20" a="1"/>
  <c r="J19" i="20" s="1"/>
  <c r="J20" i="20" a="1"/>
  <c r="J20" i="20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K8" i="20" a="1"/>
  <c r="K8" i="20" s="1"/>
  <c r="L15" i="20" a="1"/>
  <c r="L15" i="20" s="1"/>
  <c r="M2" i="20" a="1"/>
  <c r="M2" i="20" s="1"/>
  <c r="M3" i="20" a="1"/>
  <c r="M3" i="20" s="1"/>
  <c r="M4" i="20" a="1"/>
  <c r="M4" i="20"/>
  <c r="M5" i="20" a="1"/>
  <c r="M5" i="20"/>
  <c r="M6" i="20" a="1"/>
  <c r="M6" i="20" s="1"/>
  <c r="M7" i="20" a="1"/>
  <c r="M7" i="20" s="1"/>
  <c r="M8" i="20" a="1"/>
  <c r="M8" i="20" s="1"/>
  <c r="M9" i="20" a="1"/>
  <c r="M9" i="20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/>
  <c r="M17" i="20" a="1"/>
  <c r="M17" i="20" s="1"/>
  <c r="M18" i="20" a="1"/>
  <c r="M18" i="20" s="1"/>
  <c r="M19" i="20" a="1"/>
  <c r="M19" i="20" s="1"/>
  <c r="M20" i="20" a="1"/>
  <c r="M20" i="20"/>
  <c r="M21" i="20" a="1"/>
  <c r="M21" i="20"/>
  <c r="M22" i="20" a="1"/>
  <c r="M22" i="20" s="1"/>
  <c r="M23" i="20" a="1"/>
  <c r="M23" i="20" s="1"/>
  <c r="M24" i="20" a="1"/>
  <c r="M24" i="20" s="1"/>
  <c r="M25" i="20" a="1"/>
  <c r="M25" i="20"/>
  <c r="M26" i="20" a="1"/>
  <c r="M26" i="20" s="1"/>
  <c r="H2" i="19"/>
  <c r="K9" i="19" s="1" a="1"/>
  <c r="K9" i="19" s="1"/>
  <c r="H3" i="19"/>
  <c r="H4" i="19"/>
  <c r="H5" i="19"/>
  <c r="H6" i="19"/>
  <c r="H7" i="19"/>
  <c r="O2" i="19" s="1" a="1"/>
  <c r="O2" i="19" s="1"/>
  <c r="H8" i="19"/>
  <c r="N8" i="19" s="1" a="1"/>
  <c r="N8" i="19" s="1"/>
  <c r="H9" i="19"/>
  <c r="H10" i="19"/>
  <c r="O10" i="19" s="1" a="1"/>
  <c r="O10" i="19" s="1"/>
  <c r="H11" i="19"/>
  <c r="I2" i="19" a="1"/>
  <c r="I2" i="19" s="1"/>
  <c r="I3" i="19" a="1"/>
  <c r="I3" i="19" s="1"/>
  <c r="I4" i="19" a="1"/>
  <c r="I4" i="19"/>
  <c r="I5" i="19" a="1"/>
  <c r="I5" i="19" s="1"/>
  <c r="I6" i="19" a="1"/>
  <c r="I6" i="19" s="1"/>
  <c r="I7" i="19" a="1"/>
  <c r="I7" i="19" s="1"/>
  <c r="I8" i="19" a="1"/>
  <c r="I8" i="19"/>
  <c r="I9" i="19" a="1"/>
  <c r="I9" i="19" s="1"/>
  <c r="I10" i="19" a="1"/>
  <c r="I10" i="19" s="1"/>
  <c r="I11" i="19" a="1"/>
  <c r="I11" i="19" s="1"/>
  <c r="L2" i="19" a="1"/>
  <c r="L2" i="19" s="1"/>
  <c r="L3" i="19" a="1"/>
  <c r="L3" i="19" s="1"/>
  <c r="L4" i="19" a="1"/>
  <c r="L4" i="19" s="1"/>
  <c r="L5" i="19" a="1"/>
  <c r="L5" i="19" s="1"/>
  <c r="L6" i="19" a="1"/>
  <c r="L6" i="19"/>
  <c r="L7" i="19" a="1"/>
  <c r="L7" i="19" s="1"/>
  <c r="L8" i="19" a="1"/>
  <c r="L8" i="19" s="1"/>
  <c r="L9" i="19" a="1"/>
  <c r="L9" i="19" s="1"/>
  <c r="L10" i="19" a="1"/>
  <c r="L10" i="19"/>
  <c r="L11" i="19" a="1"/>
  <c r="L11" i="19" s="1"/>
  <c r="M2" i="18"/>
  <c r="M3" i="18"/>
  <c r="M4" i="18"/>
  <c r="M5" i="18"/>
  <c r="M6" i="18"/>
  <c r="M7" i="18"/>
  <c r="M8" i="18"/>
  <c r="O12" i="18" s="1" a="1"/>
  <c r="O12" i="18" s="1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T24" i="18" s="1" a="1"/>
  <c r="T24" i="18" s="1"/>
  <c r="M25" i="18"/>
  <c r="M26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/>
  <c r="N9" i="18" a="1"/>
  <c r="N9" i="18" s="1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/>
  <c r="N25" i="18" a="1"/>
  <c r="N25" i="18" s="1"/>
  <c r="N26" i="18" a="1"/>
  <c r="N26" i="18" s="1"/>
  <c r="P3" i="18" a="1"/>
  <c r="P3" i="18" s="1"/>
  <c r="P7" i="18" a="1"/>
  <c r="P7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/>
  <c r="Q10" i="18" a="1"/>
  <c r="Q10" i="18" s="1"/>
  <c r="Q11" i="18" a="1"/>
  <c r="Q11" i="18" s="1"/>
  <c r="Q12" i="18" a="1"/>
  <c r="Q12" i="18" s="1"/>
  <c r="Q13" i="18" a="1"/>
  <c r="Q13" i="18"/>
  <c r="Q14" i="18" a="1"/>
  <c r="Q14" i="18" s="1"/>
  <c r="Q15" i="18" a="1"/>
  <c r="Q15" i="18" s="1"/>
  <c r="Q16" i="18" a="1"/>
  <c r="Q16" i="18" s="1"/>
  <c r="Q17" i="18" a="1"/>
  <c r="Q17" i="18"/>
  <c r="Q18" i="18" a="1"/>
  <c r="Q18" i="18" s="1"/>
  <c r="Q19" i="18" a="1"/>
  <c r="Q19" i="18" s="1"/>
  <c r="Q20" i="18" a="1"/>
  <c r="Q20" i="18" s="1"/>
  <c r="Q21" i="18" a="1"/>
  <c r="Q21" i="18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L2" i="17"/>
  <c r="U22" i="17" s="1" a="1"/>
  <c r="U22" i="17" s="1"/>
  <c r="L7" i="17"/>
  <c r="L8" i="17"/>
  <c r="L9" i="17"/>
  <c r="L10" i="17"/>
  <c r="L11" i="17"/>
  <c r="L12" i="17"/>
  <c r="L3" i="17"/>
  <c r="X25" i="17" s="1" a="1"/>
  <c r="X25" i="17" s="1"/>
  <c r="Y25" i="17" s="1"/>
  <c r="L13" i="17"/>
  <c r="L14" i="17"/>
  <c r="L15" i="17"/>
  <c r="L16" i="17"/>
  <c r="L17" i="17"/>
  <c r="L18" i="17"/>
  <c r="L4" i="17"/>
  <c r="L19" i="17"/>
  <c r="V19" i="17" s="1" a="1"/>
  <c r="V19" i="17" s="1"/>
  <c r="L20" i="17"/>
  <c r="L21" i="17"/>
  <c r="L22" i="17"/>
  <c r="L23" i="17"/>
  <c r="L24" i="17"/>
  <c r="L5" i="17"/>
  <c r="U10" i="17" s="1" a="1"/>
  <c r="U10" i="17" s="1"/>
  <c r="L25" i="17"/>
  <c r="L26" i="17"/>
  <c r="V26" i="17" s="1" a="1"/>
  <c r="V26" i="17" s="1"/>
  <c r="L27" i="17"/>
  <c r="L28" i="17"/>
  <c r="L29" i="17"/>
  <c r="L30" i="17"/>
  <c r="L6" i="17"/>
  <c r="L31" i="17"/>
  <c r="O31" i="17" s="1" a="1"/>
  <c r="O31" i="17" s="1"/>
  <c r="L32" i="17"/>
  <c r="L33" i="17"/>
  <c r="V33" i="17" s="1" a="1"/>
  <c r="V33" i="17" s="1"/>
  <c r="L34" i="17"/>
  <c r="L35" i="17"/>
  <c r="L36" i="17"/>
  <c r="M2" i="17" a="1"/>
  <c r="M2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3" i="17" a="1"/>
  <c r="M3" i="17" s="1"/>
  <c r="M13" i="17" a="1"/>
  <c r="M13" i="17"/>
  <c r="M14" i="17" a="1"/>
  <c r="M14" i="17" s="1"/>
  <c r="M15" i="17" a="1"/>
  <c r="M15" i="17"/>
  <c r="M16" i="17" a="1"/>
  <c r="M16" i="17" s="1"/>
  <c r="M17" i="17" a="1"/>
  <c r="M17" i="17"/>
  <c r="M18" i="17" a="1"/>
  <c r="M18" i="17" s="1"/>
  <c r="M4" i="17" a="1"/>
  <c r="M4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5" i="17" a="1"/>
  <c r="M5" i="17" s="1"/>
  <c r="M25" i="17" a="1"/>
  <c r="M25" i="17"/>
  <c r="M26" i="17" a="1"/>
  <c r="M26" i="17" s="1"/>
  <c r="M27" i="17" a="1"/>
  <c r="M27" i="17" s="1"/>
  <c r="M28" i="17" a="1"/>
  <c r="M28" i="17" s="1"/>
  <c r="M29" i="17" a="1"/>
  <c r="M29" i="17"/>
  <c r="M30" i="17" a="1"/>
  <c r="M30" i="17" s="1"/>
  <c r="M6" i="17" a="1"/>
  <c r="M6" i="17"/>
  <c r="M31" i="17" a="1"/>
  <c r="M31" i="17" s="1"/>
  <c r="M32" i="17" a="1"/>
  <c r="M32" i="17"/>
  <c r="M33" i="17" a="1"/>
  <c r="M33" i="17" s="1"/>
  <c r="M34" i="17" a="1"/>
  <c r="M34" i="17" s="1"/>
  <c r="M35" i="17" a="1"/>
  <c r="M35" i="17" s="1"/>
  <c r="M36" i="17" a="1"/>
  <c r="M36" i="17" s="1"/>
  <c r="O30" i="17" a="1"/>
  <c r="O30" i="17" s="1"/>
  <c r="P2" i="17" a="1"/>
  <c r="P2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3" i="17" a="1"/>
  <c r="P3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4" i="17" a="1"/>
  <c r="P4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5" i="17" a="1"/>
  <c r="P5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6" i="17" a="1"/>
  <c r="P6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T36" i="17" a="1"/>
  <c r="T36" i="17" s="1"/>
  <c r="U14" i="17" a="1"/>
  <c r="U14" i="17" s="1"/>
  <c r="U15" i="17" a="1"/>
  <c r="U15" i="17" s="1"/>
  <c r="U35" i="17" a="1"/>
  <c r="U35" i="17" s="1"/>
  <c r="V3" i="17" a="1"/>
  <c r="V3" i="17" s="1"/>
  <c r="V4" i="17" a="1"/>
  <c r="V4" i="17" s="1"/>
  <c r="V32" i="17" a="1"/>
  <c r="V32" i="17" s="1"/>
  <c r="X8" i="17" a="1"/>
  <c r="X8" i="17" s="1"/>
  <c r="Y8" i="17" s="1"/>
  <c r="X12" i="17" a="1"/>
  <c r="X12" i="17" s="1"/>
  <c r="X15" i="17" a="1"/>
  <c r="X15" i="17" s="1"/>
  <c r="Y15" i="17" s="1"/>
  <c r="X29" i="17" a="1"/>
  <c r="X29" i="17" s="1"/>
  <c r="Y29" i="17" s="1"/>
  <c r="X36" i="17" a="1"/>
  <c r="X36" i="17" s="1"/>
  <c r="Y36" i="17" s="1"/>
  <c r="G2" i="16"/>
  <c r="P16" i="20" l="1" a="1"/>
  <c r="P16" i="20" s="1"/>
  <c r="O14" i="20" a="1"/>
  <c r="O14" i="20" s="1"/>
  <c r="O5" i="20" a="1"/>
  <c r="O5" i="20" s="1"/>
  <c r="L11" i="20" a="1"/>
  <c r="L11" i="20" s="1"/>
  <c r="O22" i="20" a="1"/>
  <c r="O22" i="20" s="1"/>
  <c r="P24" i="20" a="1"/>
  <c r="P24" i="20" s="1"/>
  <c r="K20" i="20" a="1"/>
  <c r="K20" i="20" s="1"/>
  <c r="L3" i="20" a="1"/>
  <c r="L3" i="20" s="1"/>
  <c r="N3" i="20" s="1"/>
  <c r="N23" i="20"/>
  <c r="K16" i="20" a="1"/>
  <c r="K16" i="20" s="1"/>
  <c r="O9" i="20" a="1"/>
  <c r="O9" i="20" s="1"/>
  <c r="P8" i="20" a="1"/>
  <c r="P8" i="20" s="1"/>
  <c r="L19" i="20" a="1"/>
  <c r="L19" i="20" s="1"/>
  <c r="N19" i="20" s="1"/>
  <c r="N15" i="20"/>
  <c r="N22" i="20"/>
  <c r="N11" i="20"/>
  <c r="N7" i="20"/>
  <c r="P19" i="20" a="1"/>
  <c r="P19" i="20" s="1"/>
  <c r="P3" i="20" a="1"/>
  <c r="P3" i="20" s="1"/>
  <c r="O12" i="20" a="1"/>
  <c r="O12" i="20" s="1"/>
  <c r="O8" i="20" a="1"/>
  <c r="O8" i="20" s="1"/>
  <c r="O4" i="20" a="1"/>
  <c r="O4" i="20" s="1"/>
  <c r="L26" i="20" a="1"/>
  <c r="L26" i="20" s="1"/>
  <c r="N26" i="20" s="1"/>
  <c r="L22" i="20" a="1"/>
  <c r="L22" i="20" s="1"/>
  <c r="L18" i="20" a="1"/>
  <c r="L18" i="20" s="1"/>
  <c r="N18" i="20" s="1"/>
  <c r="L14" i="20" a="1"/>
  <c r="L14" i="20" s="1"/>
  <c r="N14" i="20" s="1"/>
  <c r="L10" i="20" a="1"/>
  <c r="L10" i="20" s="1"/>
  <c r="N10" i="20" s="1"/>
  <c r="L6" i="20" a="1"/>
  <c r="L6" i="20" s="1"/>
  <c r="N6" i="20" s="1"/>
  <c r="L2" i="20" a="1"/>
  <c r="L2" i="20" s="1"/>
  <c r="N2" i="20" s="1"/>
  <c r="K23" i="20" a="1"/>
  <c r="K23" i="20" s="1"/>
  <c r="K19" i="20" a="1"/>
  <c r="K19" i="20" s="1"/>
  <c r="K15" i="20" a="1"/>
  <c r="K15" i="20" s="1"/>
  <c r="K11" i="20" a="1"/>
  <c r="K11" i="20" s="1"/>
  <c r="K7" i="20" a="1"/>
  <c r="K7" i="20" s="1"/>
  <c r="K3" i="20" a="1"/>
  <c r="K3" i="20" s="1"/>
  <c r="P15" i="20" a="1"/>
  <c r="P15" i="20" s="1"/>
  <c r="O16" i="20" a="1"/>
  <c r="O16" i="20" s="1"/>
  <c r="P6" i="20" a="1"/>
  <c r="P6" i="20" s="1"/>
  <c r="O15" i="20" a="1"/>
  <c r="O15" i="20" s="1"/>
  <c r="L13" i="20" a="1"/>
  <c r="L13" i="20" s="1"/>
  <c r="N13" i="20" s="1"/>
  <c r="L9" i="20" a="1"/>
  <c r="L9" i="20" s="1"/>
  <c r="N9" i="20" s="1"/>
  <c r="L5" i="20" a="1"/>
  <c r="L5" i="20" s="1"/>
  <c r="N5" i="20" s="1"/>
  <c r="K26" i="20" a="1"/>
  <c r="K26" i="20" s="1"/>
  <c r="K22" i="20" a="1"/>
  <c r="K22" i="20" s="1"/>
  <c r="K18" i="20" a="1"/>
  <c r="K18" i="20" s="1"/>
  <c r="K14" i="20" a="1"/>
  <c r="K14" i="20" s="1"/>
  <c r="K10" i="20" a="1"/>
  <c r="K10" i="20" s="1"/>
  <c r="K6" i="20" a="1"/>
  <c r="K6" i="20" s="1"/>
  <c r="K2" i="20" a="1"/>
  <c r="K2" i="20" s="1"/>
  <c r="P7" i="20" a="1"/>
  <c r="P7" i="20" s="1"/>
  <c r="P26" i="20" a="1"/>
  <c r="P26" i="20" s="1"/>
  <c r="P2" i="20" a="1"/>
  <c r="P2" i="20" s="1"/>
  <c r="O3" i="20" a="1"/>
  <c r="O3" i="20" s="1"/>
  <c r="P13" i="20" a="1"/>
  <c r="P13" i="20" s="1"/>
  <c r="P9" i="20" a="1"/>
  <c r="P9" i="20" s="1"/>
  <c r="P5" i="20" a="1"/>
  <c r="P5" i="20" s="1"/>
  <c r="O26" i="20" a="1"/>
  <c r="O26" i="20" s="1"/>
  <c r="O18" i="20" a="1"/>
  <c r="O18" i="20" s="1"/>
  <c r="O10" i="20" a="1"/>
  <c r="O10" i="20" s="1"/>
  <c r="O6" i="20" a="1"/>
  <c r="O6" i="20" s="1"/>
  <c r="O2" i="20" a="1"/>
  <c r="O2" i="20" s="1"/>
  <c r="O24" i="20" a="1"/>
  <c r="O24" i="20" s="1"/>
  <c r="P22" i="20" a="1"/>
  <c r="P22" i="20" s="1"/>
  <c r="P14" i="20" a="1"/>
  <c r="P14" i="20" s="1"/>
  <c r="O23" i="20" a="1"/>
  <c r="O23" i="20" s="1"/>
  <c r="O7" i="20" a="1"/>
  <c r="O7" i="20" s="1"/>
  <c r="L25" i="20" a="1"/>
  <c r="L25" i="20" s="1"/>
  <c r="N25" i="20" s="1"/>
  <c r="L17" i="20" a="1"/>
  <c r="L17" i="20" s="1"/>
  <c r="N17" i="20" s="1"/>
  <c r="P25" i="20" a="1"/>
  <c r="P25" i="20" s="1"/>
  <c r="L24" i="20" a="1"/>
  <c r="L24" i="20" s="1"/>
  <c r="N24" i="20" s="1"/>
  <c r="L20" i="20" a="1"/>
  <c r="L20" i="20" s="1"/>
  <c r="N20" i="20" s="1"/>
  <c r="L16" i="20" a="1"/>
  <c r="L16" i="20" s="1"/>
  <c r="N16" i="20" s="1"/>
  <c r="L12" i="20" a="1"/>
  <c r="L12" i="20" s="1"/>
  <c r="N12" i="20" s="1"/>
  <c r="L8" i="20" a="1"/>
  <c r="L8" i="20" s="1"/>
  <c r="N8" i="20" s="1"/>
  <c r="L4" i="20" a="1"/>
  <c r="L4" i="20" s="1"/>
  <c r="N4" i="20" s="1"/>
  <c r="K25" i="20" a="1"/>
  <c r="K25" i="20" s="1"/>
  <c r="K21" i="20" a="1"/>
  <c r="K21" i="20" s="1"/>
  <c r="K17" i="20" a="1"/>
  <c r="K17" i="20" s="1"/>
  <c r="K13" i="20" a="1"/>
  <c r="K13" i="20" s="1"/>
  <c r="K9" i="20" a="1"/>
  <c r="K9" i="20" s="1"/>
  <c r="K5" i="20" a="1"/>
  <c r="K5" i="20" s="1"/>
  <c r="P23" i="20" a="1"/>
  <c r="P23" i="20" s="1"/>
  <c r="P11" i="20" a="1"/>
  <c r="P11" i="20" s="1"/>
  <c r="O20" i="20" a="1"/>
  <c r="O20" i="20" s="1"/>
  <c r="P18" i="20" a="1"/>
  <c r="P18" i="20" s="1"/>
  <c r="P10" i="20" a="1"/>
  <c r="P10" i="20" s="1"/>
  <c r="O19" i="20" a="1"/>
  <c r="O19" i="20" s="1"/>
  <c r="O11" i="20" a="1"/>
  <c r="O11" i="20" s="1"/>
  <c r="L21" i="20" a="1"/>
  <c r="L21" i="20" s="1"/>
  <c r="N21" i="20" s="1"/>
  <c r="P21" i="20" a="1"/>
  <c r="P21" i="20" s="1"/>
  <c r="P17" i="20" a="1"/>
  <c r="P17" i="20" s="1"/>
  <c r="P20" i="20" a="1"/>
  <c r="P20" i="20" s="1"/>
  <c r="P12" i="20" a="1"/>
  <c r="P12" i="20" s="1"/>
  <c r="P4" i="20" a="1"/>
  <c r="P4" i="20" s="1"/>
  <c r="O21" i="20" a="1"/>
  <c r="O21" i="20" s="1"/>
  <c r="O13" i="20" a="1"/>
  <c r="O13" i="20" s="1"/>
  <c r="N4" i="19" a="1"/>
  <c r="N4" i="19" s="1"/>
  <c r="J3" i="19" a="1"/>
  <c r="J3" i="19" s="1"/>
  <c r="M9" i="19"/>
  <c r="O6" i="19" a="1"/>
  <c r="O6" i="19" s="1"/>
  <c r="J4" i="19" a="1"/>
  <c r="J4" i="19" s="1"/>
  <c r="O9" i="19" a="1"/>
  <c r="O9" i="19" s="1"/>
  <c r="N11" i="19" a="1"/>
  <c r="N11" i="19" s="1"/>
  <c r="N7" i="19" a="1"/>
  <c r="N7" i="19" s="1"/>
  <c r="K8" i="19" a="1"/>
  <c r="K8" i="19" s="1"/>
  <c r="M8" i="19" s="1"/>
  <c r="J10" i="19" a="1"/>
  <c r="J10" i="19" s="1"/>
  <c r="J6" i="19" a="1"/>
  <c r="J6" i="19" s="1"/>
  <c r="J2" i="19" a="1"/>
  <c r="J2" i="19" s="1"/>
  <c r="O5" i="19" a="1"/>
  <c r="O5" i="19" s="1"/>
  <c r="N3" i="19" a="1"/>
  <c r="N3" i="19" s="1"/>
  <c r="K4" i="19" a="1"/>
  <c r="K4" i="19" s="1"/>
  <c r="M4" i="19" s="1"/>
  <c r="N6" i="19" a="1"/>
  <c r="N6" i="19" s="1"/>
  <c r="K11" i="19" a="1"/>
  <c r="K11" i="19" s="1"/>
  <c r="M11" i="19" s="1"/>
  <c r="K3" i="19" a="1"/>
  <c r="K3" i="19" s="1"/>
  <c r="M3" i="19" s="1"/>
  <c r="J5" i="19" a="1"/>
  <c r="J5" i="19" s="1"/>
  <c r="N2" i="19" a="1"/>
  <c r="N2" i="19" s="1"/>
  <c r="K7" i="19" a="1"/>
  <c r="K7" i="19" s="1"/>
  <c r="M7" i="19" s="1"/>
  <c r="J9" i="19" a="1"/>
  <c r="J9" i="19" s="1"/>
  <c r="O8" i="19" a="1"/>
  <c r="O8" i="19" s="1"/>
  <c r="N10" i="19" a="1"/>
  <c r="N10" i="19" s="1"/>
  <c r="O7" i="19" a="1"/>
  <c r="O7" i="19" s="1"/>
  <c r="N5" i="19" a="1"/>
  <c r="N5" i="19" s="1"/>
  <c r="K10" i="19" a="1"/>
  <c r="K10" i="19" s="1"/>
  <c r="M10" i="19" s="1"/>
  <c r="K2" i="19" a="1"/>
  <c r="K2" i="19" s="1"/>
  <c r="M2" i="19" s="1"/>
  <c r="O4" i="19" a="1"/>
  <c r="O4" i="19" s="1"/>
  <c r="O11" i="19" a="1"/>
  <c r="O11" i="19" s="1"/>
  <c r="O3" i="19" a="1"/>
  <c r="O3" i="19" s="1"/>
  <c r="N9" i="19" a="1"/>
  <c r="N9" i="19" s="1"/>
  <c r="K6" i="19" a="1"/>
  <c r="K6" i="19" s="1"/>
  <c r="M6" i="19" s="1"/>
  <c r="J8" i="19" a="1"/>
  <c r="J8" i="19" s="1"/>
  <c r="K5" i="19" a="1"/>
  <c r="K5" i="19" s="1"/>
  <c r="M5" i="19" s="1"/>
  <c r="J11" i="19" a="1"/>
  <c r="J11" i="19" s="1"/>
  <c r="J7" i="19" a="1"/>
  <c r="J7" i="19" s="1"/>
  <c r="S25" i="18" a="1"/>
  <c r="S25" i="18" s="1"/>
  <c r="S17" i="18" a="1"/>
  <c r="S17" i="18" s="1"/>
  <c r="S9" i="18" a="1"/>
  <c r="S9" i="18" s="1"/>
  <c r="T16" i="18" a="1"/>
  <c r="T16" i="18" s="1"/>
  <c r="O24" i="18" a="1"/>
  <c r="O24" i="18" s="1"/>
  <c r="S23" i="18" a="1"/>
  <c r="S23" i="18" s="1"/>
  <c r="S15" i="18" a="1"/>
  <c r="S15" i="18" s="1"/>
  <c r="S5" i="18" a="1"/>
  <c r="S5" i="18" s="1"/>
  <c r="O20" i="18" a="1"/>
  <c r="O20" i="18" s="1"/>
  <c r="P23" i="18" a="1"/>
  <c r="P23" i="18" s="1"/>
  <c r="O16" i="18" a="1"/>
  <c r="O16" i="18" s="1"/>
  <c r="P19" i="18" a="1"/>
  <c r="P19" i="18" s="1"/>
  <c r="T8" i="18" a="1"/>
  <c r="T8" i="18" s="1"/>
  <c r="P15" i="18" a="1"/>
  <c r="P15" i="18" s="1"/>
  <c r="O8" i="18" a="1"/>
  <c r="O8" i="18" s="1"/>
  <c r="P11" i="18" a="1"/>
  <c r="P11" i="18" s="1"/>
  <c r="R11" i="18" s="1"/>
  <c r="U11" i="18" s="1"/>
  <c r="O4" i="18" a="1"/>
  <c r="O4" i="18" s="1"/>
  <c r="R7" i="18"/>
  <c r="U7" i="18" s="1"/>
  <c r="R23" i="18"/>
  <c r="U23" i="18" s="1"/>
  <c r="R19" i="18"/>
  <c r="U19" i="18" s="1"/>
  <c r="R15" i="18"/>
  <c r="U15" i="18" s="1"/>
  <c r="R3" i="18"/>
  <c r="U3" i="18" s="1"/>
  <c r="T19" i="18" a="1"/>
  <c r="T19" i="18" s="1"/>
  <c r="T3" i="18" a="1"/>
  <c r="T3" i="18" s="1"/>
  <c r="S12" i="18" a="1"/>
  <c r="S12" i="18" s="1"/>
  <c r="P18" i="18" a="1"/>
  <c r="P18" i="18" s="1"/>
  <c r="R18" i="18" s="1"/>
  <c r="U18" i="18" s="1"/>
  <c r="P6" i="18" a="1"/>
  <c r="P6" i="18" s="1"/>
  <c r="R6" i="18" s="1"/>
  <c r="U6" i="18" s="1"/>
  <c r="O7" i="18" a="1"/>
  <c r="O7" i="18" s="1"/>
  <c r="T26" i="18" a="1"/>
  <c r="T26" i="18" s="1"/>
  <c r="T22" i="18" a="1"/>
  <c r="T22" i="18" s="1"/>
  <c r="T18" i="18" a="1"/>
  <c r="T18" i="18" s="1"/>
  <c r="T14" i="18" a="1"/>
  <c r="T14" i="18" s="1"/>
  <c r="T10" i="18" a="1"/>
  <c r="T10" i="18" s="1"/>
  <c r="T6" i="18" a="1"/>
  <c r="T6" i="18" s="1"/>
  <c r="T2" i="18" a="1"/>
  <c r="T2" i="18" s="1"/>
  <c r="S19" i="18" a="1"/>
  <c r="S19" i="18" s="1"/>
  <c r="S11" i="18" a="1"/>
  <c r="S11" i="18" s="1"/>
  <c r="S7" i="18" a="1"/>
  <c r="S7" i="18" s="1"/>
  <c r="S3" i="18" a="1"/>
  <c r="S3" i="18" s="1"/>
  <c r="T23" i="18" a="1"/>
  <c r="T23" i="18" s="1"/>
  <c r="S24" i="18" a="1"/>
  <c r="S24" i="18" s="1"/>
  <c r="S8" i="18" a="1"/>
  <c r="S8" i="18" s="1"/>
  <c r="P14" i="18" a="1"/>
  <c r="P14" i="18" s="1"/>
  <c r="R14" i="18" s="1"/>
  <c r="U14" i="18" s="1"/>
  <c r="P2" i="18" a="1"/>
  <c r="P2" i="18" s="1"/>
  <c r="R2" i="18" s="1"/>
  <c r="U2" i="18" s="1"/>
  <c r="O11" i="18" a="1"/>
  <c r="O11" i="18" s="1"/>
  <c r="P25" i="18" a="1"/>
  <c r="P25" i="18" s="1"/>
  <c r="R25" i="18" s="1"/>
  <c r="U25" i="18" s="1"/>
  <c r="P21" i="18" a="1"/>
  <c r="P21" i="18" s="1"/>
  <c r="R21" i="18" s="1"/>
  <c r="U21" i="18" s="1"/>
  <c r="P17" i="18" a="1"/>
  <c r="P17" i="18" s="1"/>
  <c r="R17" i="18" s="1"/>
  <c r="U17" i="18" s="1"/>
  <c r="P13" i="18" a="1"/>
  <c r="P13" i="18" s="1"/>
  <c r="R13" i="18" s="1"/>
  <c r="U13" i="18" s="1"/>
  <c r="P9" i="18" a="1"/>
  <c r="P9" i="18" s="1"/>
  <c r="R9" i="18" s="1"/>
  <c r="U9" i="18" s="1"/>
  <c r="P5" i="18" a="1"/>
  <c r="P5" i="18" s="1"/>
  <c r="R5" i="18" s="1"/>
  <c r="U5" i="18" s="1"/>
  <c r="O26" i="18" a="1"/>
  <c r="O26" i="18" s="1"/>
  <c r="O22" i="18" a="1"/>
  <c r="O22" i="18" s="1"/>
  <c r="O18" i="18" a="1"/>
  <c r="O18" i="18" s="1"/>
  <c r="O14" i="18" a="1"/>
  <c r="O14" i="18" s="1"/>
  <c r="O10" i="18" a="1"/>
  <c r="O10" i="18" s="1"/>
  <c r="O6" i="18" a="1"/>
  <c r="O6" i="18" s="1"/>
  <c r="O2" i="18" a="1"/>
  <c r="O2" i="18" s="1"/>
  <c r="T7" i="18" a="1"/>
  <c r="T7" i="18" s="1"/>
  <c r="S4" i="18" a="1"/>
  <c r="S4" i="18" s="1"/>
  <c r="P10" i="18" a="1"/>
  <c r="P10" i="18" s="1"/>
  <c r="R10" i="18" s="1"/>
  <c r="U10" i="18" s="1"/>
  <c r="O23" i="18" a="1"/>
  <c r="O23" i="18" s="1"/>
  <c r="O3" i="18" a="1"/>
  <c r="O3" i="18" s="1"/>
  <c r="T25" i="18" a="1"/>
  <c r="T25" i="18" s="1"/>
  <c r="T21" i="18" a="1"/>
  <c r="T21" i="18" s="1"/>
  <c r="T17" i="18" a="1"/>
  <c r="T17" i="18" s="1"/>
  <c r="T13" i="18" a="1"/>
  <c r="T13" i="18" s="1"/>
  <c r="T9" i="18" a="1"/>
  <c r="T9" i="18" s="1"/>
  <c r="T5" i="18" a="1"/>
  <c r="T5" i="18" s="1"/>
  <c r="S26" i="18" a="1"/>
  <c r="S26" i="18" s="1"/>
  <c r="S22" i="18" a="1"/>
  <c r="S22" i="18" s="1"/>
  <c r="S18" i="18" a="1"/>
  <c r="S18" i="18" s="1"/>
  <c r="S14" i="18" a="1"/>
  <c r="S14" i="18" s="1"/>
  <c r="S10" i="18" a="1"/>
  <c r="S10" i="18" s="1"/>
  <c r="S6" i="18" a="1"/>
  <c r="S6" i="18" s="1"/>
  <c r="S2" i="18" a="1"/>
  <c r="S2" i="18" s="1"/>
  <c r="T11" i="18" a="1"/>
  <c r="T11" i="18" s="1"/>
  <c r="S16" i="18" a="1"/>
  <c r="S16" i="18" s="1"/>
  <c r="P22" i="18" a="1"/>
  <c r="P22" i="18" s="1"/>
  <c r="R22" i="18" s="1"/>
  <c r="U22" i="18" s="1"/>
  <c r="O15" i="18" a="1"/>
  <c r="O15" i="18" s="1"/>
  <c r="P24" i="18" a="1"/>
  <c r="P24" i="18" s="1"/>
  <c r="R24" i="18" s="1"/>
  <c r="U24" i="18" s="1"/>
  <c r="P20" i="18" a="1"/>
  <c r="P20" i="18" s="1"/>
  <c r="R20" i="18" s="1"/>
  <c r="U20" i="18" s="1"/>
  <c r="P16" i="18" a="1"/>
  <c r="P16" i="18" s="1"/>
  <c r="R16" i="18" s="1"/>
  <c r="U16" i="18" s="1"/>
  <c r="P12" i="18" a="1"/>
  <c r="P12" i="18" s="1"/>
  <c r="R12" i="18" s="1"/>
  <c r="U12" i="18" s="1"/>
  <c r="P8" i="18" a="1"/>
  <c r="P8" i="18" s="1"/>
  <c r="R8" i="18" s="1"/>
  <c r="U8" i="18" s="1"/>
  <c r="P4" i="18" a="1"/>
  <c r="P4" i="18" s="1"/>
  <c r="R4" i="18" s="1"/>
  <c r="U4" i="18" s="1"/>
  <c r="O25" i="18" a="1"/>
  <c r="O25" i="18" s="1"/>
  <c r="O21" i="18" a="1"/>
  <c r="O21" i="18" s="1"/>
  <c r="O17" i="18" a="1"/>
  <c r="O17" i="18" s="1"/>
  <c r="O13" i="18" a="1"/>
  <c r="O13" i="18" s="1"/>
  <c r="O9" i="18" a="1"/>
  <c r="O9" i="18" s="1"/>
  <c r="O5" i="18" a="1"/>
  <c r="O5" i="18" s="1"/>
  <c r="T15" i="18" a="1"/>
  <c r="T15" i="18" s="1"/>
  <c r="S20" i="18" a="1"/>
  <c r="S20" i="18" s="1"/>
  <c r="P26" i="18" a="1"/>
  <c r="P26" i="18" s="1"/>
  <c r="R26" i="18" s="1"/>
  <c r="U26" i="18" s="1"/>
  <c r="O19" i="18" a="1"/>
  <c r="O19" i="18" s="1"/>
  <c r="T20" i="18" a="1"/>
  <c r="T20" i="18" s="1"/>
  <c r="T12" i="18" a="1"/>
  <c r="T12" i="18" s="1"/>
  <c r="T4" i="18" a="1"/>
  <c r="T4" i="18" s="1"/>
  <c r="S21" i="18" a="1"/>
  <c r="S21" i="18" s="1"/>
  <c r="S13" i="18" a="1"/>
  <c r="S13" i="18" s="1"/>
  <c r="V12" i="17" a="1"/>
  <c r="V12" i="17" s="1"/>
  <c r="X32" i="17" a="1"/>
  <c r="X32" i="17" s="1"/>
  <c r="Y32" i="17" s="1"/>
  <c r="U36" i="17" a="1"/>
  <c r="U36" i="17" s="1"/>
  <c r="T18" i="17" a="1"/>
  <c r="T18" i="17" s="1"/>
  <c r="Y12" i="17"/>
  <c r="U5" i="17" a="1"/>
  <c r="U5" i="17" s="1"/>
  <c r="U29" i="17" a="1"/>
  <c r="U29" i="17" s="1"/>
  <c r="V25" i="17" a="1"/>
  <c r="V25" i="17" s="1"/>
  <c r="X22" i="17" a="1"/>
  <c r="X22" i="17" s="1"/>
  <c r="Y22" i="17" s="1"/>
  <c r="U28" i="17" a="1"/>
  <c r="U28" i="17" s="1"/>
  <c r="X4" i="17" a="1"/>
  <c r="X4" i="17" s="1"/>
  <c r="Y4" i="17" s="1"/>
  <c r="O23" i="17" a="1"/>
  <c r="O23" i="17" s="1"/>
  <c r="O32" i="17" a="1"/>
  <c r="O32" i="17" s="1"/>
  <c r="R32" i="17" a="1"/>
  <c r="R32" i="17" s="1"/>
  <c r="U32" i="17" a="1"/>
  <c r="U32" i="17" s="1"/>
  <c r="S32" i="17" a="1"/>
  <c r="S32" i="17" s="1"/>
  <c r="O25" i="17" a="1"/>
  <c r="O25" i="17" s="1"/>
  <c r="R25" i="17" a="1"/>
  <c r="R25" i="17" s="1"/>
  <c r="U25" i="17" a="1"/>
  <c r="U25" i="17" s="1"/>
  <c r="T25" i="17" a="1"/>
  <c r="T25" i="17" s="1"/>
  <c r="N25" i="17" a="1"/>
  <c r="N25" i="17" s="1"/>
  <c r="S25" i="17" a="1"/>
  <c r="S25" i="17" s="1"/>
  <c r="N2" i="17" a="1"/>
  <c r="N2" i="17" s="1"/>
  <c r="N17" i="17" a="1"/>
  <c r="N17" i="17" s="1"/>
  <c r="N26" i="17" a="1"/>
  <c r="N26" i="17" s="1"/>
  <c r="N34" i="17" a="1"/>
  <c r="N34" i="17" s="1"/>
  <c r="U17" i="17" a="1"/>
  <c r="U17" i="17" s="1"/>
  <c r="U24" i="17" a="1"/>
  <c r="U24" i="17" s="1"/>
  <c r="U6" i="17" a="1"/>
  <c r="U6" i="17" s="1"/>
  <c r="V7" i="17" a="1"/>
  <c r="V7" i="17" s="1"/>
  <c r="V14" i="17" a="1"/>
  <c r="V14" i="17" s="1"/>
  <c r="V21" i="17" a="1"/>
  <c r="V21" i="17" s="1"/>
  <c r="V28" i="17" a="1"/>
  <c r="V28" i="17" s="1"/>
  <c r="V35" i="17" a="1"/>
  <c r="V35" i="17" s="1"/>
  <c r="X9" i="17" a="1"/>
  <c r="X9" i="17" s="1"/>
  <c r="X3" i="17" a="1"/>
  <c r="X3" i="17" s="1"/>
  <c r="Y3" i="17" s="1"/>
  <c r="X16" i="17" a="1"/>
  <c r="X16" i="17" s="1"/>
  <c r="X19" i="17" a="1"/>
  <c r="X19" i="17" s="1"/>
  <c r="X23" i="17" a="1"/>
  <c r="X23" i="17" s="1"/>
  <c r="X26" i="17" a="1"/>
  <c r="X26" i="17" s="1"/>
  <c r="Y26" i="17" s="1"/>
  <c r="X30" i="17" a="1"/>
  <c r="X30" i="17" s="1"/>
  <c r="X33" i="17" a="1"/>
  <c r="X33" i="17" s="1"/>
  <c r="S33" i="17" a="1"/>
  <c r="S33" i="17" s="1"/>
  <c r="T10" i="17" a="1"/>
  <c r="T10" i="17" s="1"/>
  <c r="T17" i="17" a="1"/>
  <c r="T17" i="17" s="1"/>
  <c r="T24" i="17" a="1"/>
  <c r="T24" i="17" s="1"/>
  <c r="T6" i="17" a="1"/>
  <c r="T6" i="17" s="1"/>
  <c r="U7" i="17" a="1"/>
  <c r="U7" i="17" s="1"/>
  <c r="V15" i="17" a="1"/>
  <c r="V15" i="17" s="1"/>
  <c r="V22" i="17" a="1"/>
  <c r="V22" i="17" s="1"/>
  <c r="V36" i="17" a="1"/>
  <c r="V36" i="17" s="1"/>
  <c r="U33" i="17" a="1"/>
  <c r="U33" i="17" s="1"/>
  <c r="V24" i="17" a="1"/>
  <c r="V24" i="17" s="1"/>
  <c r="O8" i="17" a="1"/>
  <c r="O8" i="17" s="1"/>
  <c r="O36" i="17" a="1"/>
  <c r="O36" i="17" s="1"/>
  <c r="R27" i="17" a="1"/>
  <c r="R27" i="17" s="1"/>
  <c r="S14" i="17" a="1"/>
  <c r="S14" i="17" s="1"/>
  <c r="S35" i="17" a="1"/>
  <c r="S35" i="17" s="1"/>
  <c r="T29" i="17" a="1"/>
  <c r="T29" i="17" s="1"/>
  <c r="N8" i="17" a="1"/>
  <c r="N8" i="17" s="1"/>
  <c r="N4" i="17" a="1"/>
  <c r="N4" i="17" s="1"/>
  <c r="N27" i="17" a="1"/>
  <c r="N27" i="17" s="1"/>
  <c r="N35" i="17" a="1"/>
  <c r="N35" i="17" s="1"/>
  <c r="O4" i="17" a="1"/>
  <c r="O4" i="17" s="1"/>
  <c r="Q4" i="17" s="1"/>
  <c r="W4" i="17" s="1"/>
  <c r="R7" i="17" a="1"/>
  <c r="R7" i="17" s="1"/>
  <c r="R15" i="17" a="1"/>
  <c r="R15" i="17" s="1"/>
  <c r="R4" i="17" a="1"/>
  <c r="R4" i="17" s="1"/>
  <c r="R22" i="17" a="1"/>
  <c r="R22" i="17" s="1"/>
  <c r="R29" i="17" a="1"/>
  <c r="R29" i="17" s="1"/>
  <c r="R36" i="17" a="1"/>
  <c r="R36" i="17" s="1"/>
  <c r="S9" i="17" a="1"/>
  <c r="S9" i="17" s="1"/>
  <c r="S3" i="17" a="1"/>
  <c r="S3" i="17" s="1"/>
  <c r="S16" i="17" a="1"/>
  <c r="S16" i="17" s="1"/>
  <c r="S19" i="17" a="1"/>
  <c r="S19" i="17" s="1"/>
  <c r="S23" i="17" a="1"/>
  <c r="S23" i="17" s="1"/>
  <c r="S26" i="17" a="1"/>
  <c r="S26" i="17" s="1"/>
  <c r="S30" i="17" a="1"/>
  <c r="S30" i="17" s="1"/>
  <c r="T2" i="17" a="1"/>
  <c r="T2" i="17" s="1"/>
  <c r="T13" i="17" a="1"/>
  <c r="T13" i="17" s="1"/>
  <c r="T20" i="17" a="1"/>
  <c r="T20" i="17" s="1"/>
  <c r="T27" i="17" a="1"/>
  <c r="T27" i="17" s="1"/>
  <c r="T34" i="17" a="1"/>
  <c r="T34" i="17" s="1"/>
  <c r="V8" i="17" a="1"/>
  <c r="V8" i="17" s="1"/>
  <c r="V29" i="17" a="1"/>
  <c r="V29" i="17" s="1"/>
  <c r="U19" i="17" a="1"/>
  <c r="U19" i="17" s="1"/>
  <c r="V17" i="17" a="1"/>
  <c r="V17" i="17" s="1"/>
  <c r="N13" i="17" a="1"/>
  <c r="N13" i="17" s="1"/>
  <c r="O15" i="17" a="1"/>
  <c r="O15" i="17" s="1"/>
  <c r="Q15" i="17" s="1"/>
  <c r="W15" i="17" s="1"/>
  <c r="R20" i="17" a="1"/>
  <c r="R20" i="17" s="1"/>
  <c r="R34" i="17" a="1"/>
  <c r="R34" i="17" s="1"/>
  <c r="S28" i="17" a="1"/>
  <c r="S28" i="17" s="1"/>
  <c r="T4" i="17" a="1"/>
  <c r="T4" i="17" s="1"/>
  <c r="T22" i="17" a="1"/>
  <c r="T22" i="17" s="1"/>
  <c r="N10" i="17" a="1"/>
  <c r="N10" i="17" s="1"/>
  <c r="N19" i="17" a="1"/>
  <c r="N19" i="17" s="1"/>
  <c r="N29" i="17" a="1"/>
  <c r="N29" i="17" s="1"/>
  <c r="N36" i="17" a="1"/>
  <c r="N36" i="17" s="1"/>
  <c r="O3" i="17" a="1"/>
  <c r="O3" i="17" s="1"/>
  <c r="O19" i="17" a="1"/>
  <c r="O19" i="17" s="1"/>
  <c r="O26" i="17" a="1"/>
  <c r="O26" i="17" s="1"/>
  <c r="O33" i="17" a="1"/>
  <c r="O33" i="17" s="1"/>
  <c r="U8" i="17" a="1"/>
  <c r="U8" i="17" s="1"/>
  <c r="U3" i="17" a="1"/>
  <c r="U3" i="17" s="1"/>
  <c r="U4" i="17" a="1"/>
  <c r="U4" i="17" s="1"/>
  <c r="V9" i="17" a="1"/>
  <c r="V9" i="17" s="1"/>
  <c r="V16" i="17" a="1"/>
  <c r="V16" i="17" s="1"/>
  <c r="V23" i="17" a="1"/>
  <c r="V23" i="17" s="1"/>
  <c r="V30" i="17" a="1"/>
  <c r="V30" i="17" s="1"/>
  <c r="X2" i="17" a="1"/>
  <c r="X2" i="17" s="1"/>
  <c r="Y2" i="17" s="1"/>
  <c r="X10" i="17" a="1"/>
  <c r="X10" i="17" s="1"/>
  <c r="Y10" i="17" s="1"/>
  <c r="X13" i="17" a="1"/>
  <c r="X13" i="17" s="1"/>
  <c r="Y13" i="17" s="1"/>
  <c r="X17" i="17" a="1"/>
  <c r="X17" i="17" s="1"/>
  <c r="Y17" i="17" s="1"/>
  <c r="X20" i="17" a="1"/>
  <c r="X20" i="17" s="1"/>
  <c r="Y20" i="17" s="1"/>
  <c r="X24" i="17" a="1"/>
  <c r="X24" i="17" s="1"/>
  <c r="Y24" i="17" s="1"/>
  <c r="X27" i="17" a="1"/>
  <c r="X27" i="17" s="1"/>
  <c r="Y27" i="17" s="1"/>
  <c r="X6" i="17" a="1"/>
  <c r="X6" i="17" s="1"/>
  <c r="Y6" i="17" s="1"/>
  <c r="X34" i="17" a="1"/>
  <c r="X34" i="17" s="1"/>
  <c r="Y34" i="17" s="1"/>
  <c r="R26" i="17" a="1"/>
  <c r="R26" i="17" s="1"/>
  <c r="R33" i="17" a="1"/>
  <c r="R33" i="17" s="1"/>
  <c r="S10" i="17" a="1"/>
  <c r="S10" i="17" s="1"/>
  <c r="S17" i="17" a="1"/>
  <c r="S17" i="17" s="1"/>
  <c r="S24" i="17" a="1"/>
  <c r="S24" i="17" s="1"/>
  <c r="S27" i="17" a="1"/>
  <c r="S27" i="17" s="1"/>
  <c r="S34" i="17" a="1"/>
  <c r="S34" i="17" s="1"/>
  <c r="T14" i="17" a="1"/>
  <c r="T14" i="17" s="1"/>
  <c r="T28" i="17" a="1"/>
  <c r="T28" i="17" s="1"/>
  <c r="U26" i="17" a="1"/>
  <c r="U26" i="17" s="1"/>
  <c r="V10" i="17" a="1"/>
  <c r="V10" i="17" s="1"/>
  <c r="N31" i="17" a="1"/>
  <c r="N31" i="17" s="1"/>
  <c r="O29" i="17" a="1"/>
  <c r="O29" i="17" s="1"/>
  <c r="R24" i="17" a="1"/>
  <c r="R24" i="17" s="1"/>
  <c r="S11" i="17" a="1"/>
  <c r="S11" i="17" s="1"/>
  <c r="S31" i="17" a="1"/>
  <c r="S31" i="17" s="1"/>
  <c r="N20" i="17" a="1"/>
  <c r="N20" i="17" s="1"/>
  <c r="N30" i="17" a="1"/>
  <c r="N30" i="17" s="1"/>
  <c r="O2" i="17" a="1"/>
  <c r="O2" i="17" s="1"/>
  <c r="O13" i="17" a="1"/>
  <c r="O13" i="17" s="1"/>
  <c r="O20" i="17" a="1"/>
  <c r="O20" i="17" s="1"/>
  <c r="O27" i="17" a="1"/>
  <c r="O27" i="17" s="1"/>
  <c r="O34" i="17" a="1"/>
  <c r="O34" i="17" s="1"/>
  <c r="R9" i="17" a="1"/>
  <c r="R9" i="17" s="1"/>
  <c r="R3" i="17" a="1"/>
  <c r="R3" i="17" s="1"/>
  <c r="R16" i="17" a="1"/>
  <c r="R16" i="17" s="1"/>
  <c r="R19" i="17" a="1"/>
  <c r="R19" i="17" s="1"/>
  <c r="R23" i="17" a="1"/>
  <c r="R23" i="17" s="1"/>
  <c r="R30" i="17" a="1"/>
  <c r="R30" i="17" s="1"/>
  <c r="S2" i="17" a="1"/>
  <c r="S2" i="17" s="1"/>
  <c r="S13" i="17" a="1"/>
  <c r="S13" i="17" s="1"/>
  <c r="S20" i="17" a="1"/>
  <c r="S20" i="17" s="1"/>
  <c r="S6" i="17" a="1"/>
  <c r="S6" i="17" s="1"/>
  <c r="T7" i="17" a="1"/>
  <c r="T7" i="17" s="1"/>
  <c r="T21" i="17" a="1"/>
  <c r="T21" i="17" s="1"/>
  <c r="T35" i="17" a="1"/>
  <c r="T35" i="17" s="1"/>
  <c r="V6" i="17" a="1"/>
  <c r="V6" i="17" s="1"/>
  <c r="N23" i="17" a="1"/>
  <c r="N23" i="17" s="1"/>
  <c r="R10" i="17" a="1"/>
  <c r="R10" i="17" s="1"/>
  <c r="S7" i="17" a="1"/>
  <c r="S7" i="17" s="1"/>
  <c r="T8" i="17" a="1"/>
  <c r="T8" i="17" s="1"/>
  <c r="N3" i="17" a="1"/>
  <c r="N3" i="17" s="1"/>
  <c r="N22" i="17" a="1"/>
  <c r="N22" i="17" s="1"/>
  <c r="N6" i="17" a="1"/>
  <c r="N6" i="17" s="1"/>
  <c r="O7" i="17" a="1"/>
  <c r="O7" i="17" s="1"/>
  <c r="O14" i="17" a="1"/>
  <c r="O14" i="17" s="1"/>
  <c r="O21" i="17" a="1"/>
  <c r="O21" i="17" s="1"/>
  <c r="O28" i="17" a="1"/>
  <c r="O28" i="17" s="1"/>
  <c r="O35" i="17" a="1"/>
  <c r="O35" i="17" s="1"/>
  <c r="U9" i="17" a="1"/>
  <c r="U9" i="17" s="1"/>
  <c r="U13" i="17" a="1"/>
  <c r="U13" i="17" s="1"/>
  <c r="U20" i="17" a="1"/>
  <c r="U20" i="17" s="1"/>
  <c r="U27" i="17" a="1"/>
  <c r="U27" i="17" s="1"/>
  <c r="U34" i="17" a="1"/>
  <c r="U34" i="17" s="1"/>
  <c r="X7" i="17" a="1"/>
  <c r="X7" i="17" s="1"/>
  <c r="Y7" i="17" s="1"/>
  <c r="Q7" i="17" s="1"/>
  <c r="W7" i="17" s="1"/>
  <c r="X14" i="17" a="1"/>
  <c r="X14" i="17" s="1"/>
  <c r="X21" i="17" a="1"/>
  <c r="X21" i="17" s="1"/>
  <c r="X28" i="17" a="1"/>
  <c r="X28" i="17" s="1"/>
  <c r="X35" i="17" a="1"/>
  <c r="X35" i="17" s="1"/>
  <c r="Y35" i="17" s="1"/>
  <c r="Q35" i="17" s="1"/>
  <c r="W35" i="17" s="1"/>
  <c r="R17" i="17" a="1"/>
  <c r="R17" i="17" s="1"/>
  <c r="S18" i="17" a="1"/>
  <c r="S18" i="17" s="1"/>
  <c r="O22" i="17" a="1"/>
  <c r="O22" i="17" s="1"/>
  <c r="S5" i="17" a="1"/>
  <c r="S5" i="17" s="1"/>
  <c r="N16" i="17" a="1"/>
  <c r="N16" i="17" s="1"/>
  <c r="N33" i="17" a="1"/>
  <c r="N33" i="17" s="1"/>
  <c r="O10" i="17" a="1"/>
  <c r="O10" i="17" s="1"/>
  <c r="O17" i="17" a="1"/>
  <c r="O17" i="17" s="1"/>
  <c r="O24" i="17" a="1"/>
  <c r="O24" i="17" s="1"/>
  <c r="O6" i="17" a="1"/>
  <c r="O6" i="17" s="1"/>
  <c r="R14" i="17" a="1"/>
  <c r="R14" i="17" s="1"/>
  <c r="R21" i="17" a="1"/>
  <c r="R21" i="17" s="1"/>
  <c r="R28" i="17" a="1"/>
  <c r="R28" i="17" s="1"/>
  <c r="R35" i="17" a="1"/>
  <c r="R35" i="17" s="1"/>
  <c r="S8" i="17" a="1"/>
  <c r="S8" i="17" s="1"/>
  <c r="S15" i="17" a="1"/>
  <c r="S15" i="17" s="1"/>
  <c r="S4" i="17" a="1"/>
  <c r="S4" i="17" s="1"/>
  <c r="S22" i="17" a="1"/>
  <c r="S22" i="17" s="1"/>
  <c r="S29" i="17" a="1"/>
  <c r="S29" i="17" s="1"/>
  <c r="S36" i="17" a="1"/>
  <c r="S36" i="17" s="1"/>
  <c r="T9" i="17" a="1"/>
  <c r="T9" i="17" s="1"/>
  <c r="T3" i="17" a="1"/>
  <c r="T3" i="17" s="1"/>
  <c r="T16" i="17" a="1"/>
  <c r="T16" i="17" s="1"/>
  <c r="T19" i="17" a="1"/>
  <c r="T19" i="17" s="1"/>
  <c r="T23" i="17" a="1"/>
  <c r="T23" i="17" s="1"/>
  <c r="T26" i="17" a="1"/>
  <c r="T26" i="17" s="1"/>
  <c r="T30" i="17" a="1"/>
  <c r="T30" i="17" s="1"/>
  <c r="T33" i="17" a="1"/>
  <c r="T33" i="17" s="1"/>
  <c r="U2" i="17" a="1"/>
  <c r="U2" i="17" s="1"/>
  <c r="U16" i="17" a="1"/>
  <c r="U16" i="17" s="1"/>
  <c r="U23" i="17" a="1"/>
  <c r="U23" i="17" s="1"/>
  <c r="U30" i="17" a="1"/>
  <c r="U30" i="17" s="1"/>
  <c r="V2" i="17" a="1"/>
  <c r="V2" i="17" s="1"/>
  <c r="V13" i="17" a="1"/>
  <c r="V13" i="17" s="1"/>
  <c r="V20" i="17" a="1"/>
  <c r="V20" i="17" s="1"/>
  <c r="V27" i="17" a="1"/>
  <c r="V27" i="17" s="1"/>
  <c r="V34" i="17" a="1"/>
  <c r="V34" i="17" s="1"/>
  <c r="R13" i="17" a="1"/>
  <c r="R13" i="17" s="1"/>
  <c r="R6" i="17" a="1"/>
  <c r="R6" i="17" s="1"/>
  <c r="S21" i="17" a="1"/>
  <c r="S21" i="17" s="1"/>
  <c r="T15" i="17" a="1"/>
  <c r="T15" i="17" s="1"/>
  <c r="U12" i="17" a="1"/>
  <c r="U12" i="17" s="1"/>
  <c r="O12" i="17" a="1"/>
  <c r="O12" i="17" s="1"/>
  <c r="R12" i="17" a="1"/>
  <c r="R12" i="17" s="1"/>
  <c r="N12" i="17" a="1"/>
  <c r="N12" i="17" s="1"/>
  <c r="S12" i="17" a="1"/>
  <c r="S12" i="17" s="1"/>
  <c r="T12" i="17" a="1"/>
  <c r="T12" i="17" s="1"/>
  <c r="R11" i="17" a="1"/>
  <c r="R11" i="17" s="1"/>
  <c r="O16" i="17" a="1"/>
  <c r="O16" i="17" s="1"/>
  <c r="O9" i="17" a="1"/>
  <c r="O9" i="17" s="1"/>
  <c r="U21" i="17" a="1"/>
  <c r="U21" i="17" s="1"/>
  <c r="T32" i="17" a="1"/>
  <c r="T32" i="17" s="1"/>
  <c r="N32" i="17" a="1"/>
  <c r="N32" i="17" s="1"/>
  <c r="N24" i="17" a="1"/>
  <c r="N24" i="17" s="1"/>
  <c r="N15" i="17" a="1"/>
  <c r="N15" i="17" s="1"/>
  <c r="U11" i="17" a="1"/>
  <c r="U11" i="17" s="1"/>
  <c r="R31" i="17" a="1"/>
  <c r="R31" i="17" s="1"/>
  <c r="R5" i="17" a="1"/>
  <c r="R5" i="17" s="1"/>
  <c r="R18" i="17" a="1"/>
  <c r="R18" i="17" s="1"/>
  <c r="N11" i="17" a="1"/>
  <c r="N11" i="17" s="1"/>
  <c r="X31" i="17" a="1"/>
  <c r="X31" i="17" s="1"/>
  <c r="X5" i="17" a="1"/>
  <c r="X5" i="17" s="1"/>
  <c r="X18" i="17" a="1"/>
  <c r="X18" i="17" s="1"/>
  <c r="X11" i="17" a="1"/>
  <c r="X11" i="17" s="1"/>
  <c r="Y11" i="17" s="1"/>
  <c r="V31" i="17" a="1"/>
  <c r="V31" i="17" s="1"/>
  <c r="V5" i="17" a="1"/>
  <c r="V5" i="17" s="1"/>
  <c r="V18" i="17" a="1"/>
  <c r="V18" i="17" s="1"/>
  <c r="V11" i="17" a="1"/>
  <c r="V11" i="17" s="1"/>
  <c r="N18" i="17" a="1"/>
  <c r="N18" i="17" s="1"/>
  <c r="T5" i="17" a="1"/>
  <c r="T5" i="17" s="1"/>
  <c r="T11" i="17" a="1"/>
  <c r="T11" i="17" s="1"/>
  <c r="T31" i="17" a="1"/>
  <c r="T31" i="17" s="1"/>
  <c r="U18" i="17" a="1"/>
  <c r="U18" i="17" s="1"/>
  <c r="R8" i="17" a="1"/>
  <c r="R8" i="17" s="1"/>
  <c r="N28" i="17" a="1"/>
  <c r="N28" i="17" s="1"/>
  <c r="N21" i="17" a="1"/>
  <c r="N21" i="17" s="1"/>
  <c r="N14" i="17" a="1"/>
  <c r="N14" i="17" s="1"/>
  <c r="N7" i="17" a="1"/>
  <c r="N7" i="17" s="1"/>
  <c r="N5" i="17" a="1"/>
  <c r="N5" i="17" s="1"/>
  <c r="U31" i="17" a="1"/>
  <c r="U31" i="17" s="1"/>
  <c r="O5" i="17" a="1"/>
  <c r="O5" i="17" s="1"/>
  <c r="O18" i="17" a="1"/>
  <c r="O18" i="17" s="1"/>
  <c r="O11" i="17" a="1"/>
  <c r="O11" i="17" s="1"/>
  <c r="N9" i="17" a="1"/>
  <c r="N9" i="17" s="1"/>
  <c r="Y28" i="17"/>
  <c r="Q28" i="17" s="1"/>
  <c r="W28" i="17" s="1"/>
  <c r="Q36" i="17"/>
  <c r="W36" i="17" s="1"/>
  <c r="Q29" i="17"/>
  <c r="W29" i="17" s="1"/>
  <c r="Q22" i="17"/>
  <c r="W22" i="17" s="1"/>
  <c r="Q8" i="17"/>
  <c r="W8" i="17" s="1"/>
  <c r="Y31" i="17"/>
  <c r="Q31" i="17" s="1"/>
  <c r="W31" i="17" s="1"/>
  <c r="Y18" i="17"/>
  <c r="Q18" i="17" s="1"/>
  <c r="W18" i="17" s="1"/>
  <c r="Y23" i="17"/>
  <c r="Q23" i="17" s="1"/>
  <c r="W23" i="17" s="1"/>
  <c r="Y9" i="17"/>
  <c r="Q32" i="17"/>
  <c r="W32" i="17" s="1"/>
  <c r="Q25" i="17"/>
  <c r="W25" i="17" s="1"/>
  <c r="Q12" i="17"/>
  <c r="W12" i="17" s="1"/>
  <c r="Y21" i="17"/>
  <c r="Y30" i="17"/>
  <c r="Q30" i="17" s="1"/>
  <c r="W30" i="17" s="1"/>
  <c r="Y16" i="17"/>
  <c r="Y5" i="17"/>
  <c r="Q5" i="17" s="1"/>
  <c r="W5" i="17" s="1"/>
  <c r="Y33" i="17"/>
  <c r="Q33" i="17" s="1"/>
  <c r="W33" i="17" s="1"/>
  <c r="Y19" i="17"/>
  <c r="Q19" i="17" s="1"/>
  <c r="W19" i="17" s="1"/>
  <c r="Y14" i="17"/>
  <c r="Q14" i="17" s="1"/>
  <c r="W14" i="17" s="1"/>
  <c r="R2" i="17" a="1"/>
  <c r="R2" i="17" s="1"/>
  <c r="Q16" i="17" l="1"/>
  <c r="W16" i="17" s="1"/>
  <c r="Q9" i="17"/>
  <c r="W9" i="17" s="1"/>
  <c r="Q6" i="17"/>
  <c r="W6" i="17" s="1"/>
  <c r="Q3" i="17"/>
  <c r="W3" i="17" s="1"/>
  <c r="Q27" i="17"/>
  <c r="W27" i="17" s="1"/>
  <c r="Q24" i="17"/>
  <c r="W24" i="17" s="1"/>
  <c r="Q20" i="17"/>
  <c r="W20" i="17" s="1"/>
  <c r="Q17" i="17"/>
  <c r="W17" i="17" s="1"/>
  <c r="Q21" i="17"/>
  <c r="W21" i="17" s="1"/>
  <c r="Q13" i="17"/>
  <c r="W13" i="17" s="1"/>
  <c r="Q10" i="17"/>
  <c r="W10" i="17" s="1"/>
  <c r="Q11" i="17"/>
  <c r="W11" i="17" s="1"/>
  <c r="Q26" i="17"/>
  <c r="W26" i="17" s="1"/>
  <c r="Q34" i="17"/>
  <c r="W34" i="17" s="1"/>
  <c r="Q2" i="17"/>
  <c r="W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12038\onedrive - university of new haven\desktop\vaatsalya\robinhood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12038\onedrive - university of new haven\desktop\vaatsalya\robinhood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12038\onedrive - university of new haven\desktop\vaatsalya\robinhood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12038\onedrive - university of new haven\desktop\vaatsalya\robinhood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12038\onedrive - university of new haven\desktop\vaatsalya\robinhood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12038\onedrive - university of new haven\desktop\vaatsalya\robinhood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<sst xmlns="http://schemas.openxmlformats.org/spreadsheetml/2006/main" count="690" uniqueCount="103">
  <si>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</si>
  <si>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</si>
  <si>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</si>
  <si>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</si>
  <si>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</si>
  <si>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</si>
  <si>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</si>
  <si>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</si>
  <si>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</si>
  <si>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</si>
  <si>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</si>
  <si>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</si>
  <si>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</si>
  <si>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</si>
  <si>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</si>
  <si>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</si>
  <si>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</si>
  <si>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</si>
  <si>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</si>
  <si>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</si>
  <si>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</si>
  <si>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</si>
  <si>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</si>
  <si>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</si>
  <si>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</si>
  <si>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</si>
  <si>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</si>
  <si>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</si>
  <si>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</si>
  <si>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</si>
  <si>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</si>
  <si>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</si>
  <si>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</si>
  <si>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</si>
  <si>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</si>
  <si>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</si>
  <si>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</si>
  <si>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</si>
  <si>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</si>
  <si>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</si>
  <si>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</si>
  <si>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</si>
  <si>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</si>
  <si>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</si>
  <si>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</si>
  <si>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</si>
  <si>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</si>
  <si>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</si>
  <si>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</si>
  <si>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</si>
  <si>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</si>
  <si>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</si>
  <si>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</si>
  <si>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</si>
  <si>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</si>
  <si>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</si>
  <si>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</si>
  <si>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</si>
  <si>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</si>
  <si>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</si>
  <si>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</si>
  <si>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</si>
  <si>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</si>
  <si>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</si>
  <si>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</si>
  <si>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</si>
  <si>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</si>
  <si>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</si>
  <si>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Robinhood CashDrop</t>
  </si>
  <si>
    <t>C:\Users\12038\OneDrive - University of New Haven\Desktop\vaatsalya\Robinhood.p</t>
  </si>
  <si>
    <t>2025-03-28 20:36:27</t>
  </si>
  <si>
    <t>Assign Courier.Queue</t>
  </si>
  <si>
    <t>Waiting Time</t>
  </si>
  <si>
    <t>Queue</t>
  </si>
  <si>
    <t>CashOrder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</si>
  <si>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</si>
  <si>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</si>
  <si>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</si>
  <si>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</si>
  <si>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</si>
  <si>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</si>
  <si>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</si>
  <si>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</si>
  <si>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</si>
  <si>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Courier</t>
  </si>
  <si>
    <t>Instantaneous Utilization</t>
  </si>
  <si>
    <t>Resource</t>
  </si>
  <si>
    <t>Number Busy</t>
  </si>
  <si>
    <t>Number Scheduled</t>
  </si>
  <si>
    <t>FailedDeliveries</t>
  </si>
  <si>
    <t>Count</t>
  </si>
  <si>
    <t>User Specified</t>
  </si>
  <si>
    <t>SuccessCount</t>
  </si>
  <si>
    <t>CashOrder.NumberIn</t>
  </si>
  <si>
    <t>Number In</t>
  </si>
  <si>
    <t>CashOrder.NumberOut</t>
  </si>
  <si>
    <t>Number Out</t>
  </si>
  <si>
    <t>Courier.NumberSeized</t>
  </si>
  <si>
    <t>Total Number Seized</t>
  </si>
  <si>
    <t>Courier.ScheduledUtilization</t>
  </si>
  <si>
    <t>Scheduled Utilization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</si>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</sst>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I RAM REGALLA" refreshedDate="45744.858925462962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Robinhood CashDrop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3">
        <s v="CashOrder.NumberIn"/>
        <s v="CashOrder.NumberOut"/>
        <s v="Courier.NumberSeized"/>
        <s v="Couri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8.1975844987714999E-2" maxValue="12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8.6853217976290573E-2" maxValue="120.8"/>
    </cacheField>
    <cacheField name="StandardDeviation" numFmtId="0">
      <sharedItems containsSemiMixedTypes="0" containsString="0" containsNumber="1" minValue="3.9889271851271052E-3" maxValue="6.978538528947160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9529072772286067E-3" maxValue="8.6650000514715444"/>
    </cacheField>
    <cacheField name="Minimum" numFmtId="0">
      <sharedItems containsSemiMixedTypes="0" containsString="0" containsNumber="1" minValue="8.1975844987714999E-2" maxValue="111"/>
    </cacheField>
    <cacheField name="Maximum" numFmtId="0">
      <sharedItems containsSemiMixedTypes="0" containsString="0" containsNumber="1" minValue="9.2207333756806995E-2" maxValue="1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I RAM REGALLA" refreshedDate="45744.858925925924" createdVersion="7" refreshedVersion="8" minRefreshableVersion="3" recordCount="1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Robinhood CashDrop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6">
        <s v="FailedDeliveries"/>
        <s v="SuccessCount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" maxValue="121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3.8" maxValue="109.4"/>
    </cacheField>
    <cacheField name="StandardDeviation" numFmtId="0">
      <sharedItems containsSemiMixedTypes="0" containsString="0" containsNumber="1" minValue="1.7888543819998315" maxValue="8.018728078691781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2211560841582338" maxValue="9.956565966697223"/>
    </cacheField>
    <cacheField name="Minimum" numFmtId="0">
      <sharedItems containsSemiMixedTypes="0" containsString="0" containsNumber="1" containsInteger="1" minValue="1" maxValue="101"/>
    </cacheField>
    <cacheField name="Maximum" numFmtId="0">
      <sharedItems containsSemiMixedTypes="0" containsString="0" containsNumber="1" containsInteger="1" minValue="5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I RAM REGALLA" refreshedDate="45744.858926504632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Robinhood CashDrop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7">
        <s v="Assign Courier.Queue"/>
        <s v="CashOrder"/>
        <s v="Courie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10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0"/>
    </cacheField>
    <cacheField name="Maximum" numFmtId="0">
      <sharedItems containsSemiMixedTypes="0" containsString="0" containsNumber="1" minValue="0" maxValue="19"/>
    </cacheField>
    <cacheField name="LastRecordedValue" numFmtId="0">
      <sharedItems containsSemiMixedTypes="0" containsString="0" containsNumber="1" minValue="0" maxValue="1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0"/>
    </cacheField>
    <cacheField name="StDevOfAverage" numFmtId="0">
      <sharedItems containsSemiMixedTypes="0" containsString="0" containsNumber="1" minValue="0" maxValue="0.5888297424766296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73112869230482469"/>
    </cacheField>
    <cacheField name="MinimumAverage" numFmtId="0">
      <sharedItems containsSemiMixedTypes="0" containsString="0" containsNumber="1" minValue="0" maxValue="10"/>
    </cacheField>
    <cacheField name="MaximumAverage" numFmtId="0">
      <sharedItems containsSemiMixedTypes="0" containsString="0" containsNumber="1" minValue="0" maxValue="10"/>
    </cacheField>
    <cacheField name="SummaryHalfWidth" numFmtId="0">
      <sharedItems containsSemiMixedTypes="0" containsString="0" containsNumber="1" minValue="0" maxValue="0.73112869230482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I RAM REGALLA" refreshedDate="45744.858926967594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I RAM REGALLA" refreshedDate="45744.858927314817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Robinhood CashDrop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Assign Courier.Queue"/>
        <s v="CashOrde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2.67134626561170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0.814986927929699"/>
    </cacheField>
    <cacheField name="Maximum" numFmtId="0">
      <sharedItems containsSemiMixedTypes="0" containsString="0" containsNumber="1" minValue="0" maxValue="45.319532259570998"/>
    </cacheField>
    <cacheField name="NumberObservations" numFmtId="0">
      <sharedItems containsSemiMixedTypes="0" containsString="0" containsNumber="1" containsInteger="1" minValue="106" maxValue="127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31.326099896859784"/>
    </cacheField>
    <cacheField name="StDevOfAverage" numFmtId="0">
      <sharedItems containsSemiMixedTypes="0" containsString="0" containsNumber="1" minValue="0" maxValue="0.7799949769937294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9684916817128868"/>
    </cacheField>
    <cacheField name="MinimumAverage" numFmtId="0">
      <sharedItems containsSemiMixedTypes="0" containsString="0" containsNumber="1" minValue="0" maxValue="30.762642441351002"/>
    </cacheField>
    <cacheField name="MaximumAverage" numFmtId="0">
      <sharedItems containsSemiMixedTypes="0" containsString="0" containsNumber="1" minValue="0" maxValue="32.671346265611703"/>
    </cacheField>
    <cacheField name="OverallMinimum" numFmtId="0">
      <sharedItems containsSemiMixedTypes="0" containsString="0" containsNumber="1" minValue="0" maxValue="6.7070875372228604"/>
    </cacheField>
    <cacheField name="OverallMaximum" numFmtId="0">
      <sharedItems containsSemiMixedTypes="0" containsString="0" containsNumber="1" minValue="0" maxValue="45.319532259570998"/>
    </cacheField>
    <cacheField name="AverageNumberObservations" numFmtId="0">
      <sharedItems containsSemiMixedTypes="0" containsString="0" containsNumber="1" minValue="113.2" maxValue="120.6"/>
    </cacheField>
    <cacheField name="SummaryHalfWidth" numFmtId="0">
      <sharedItems containsSemiMixedTypes="0" containsString="0" containsNumber="1" minValue="0" maxValue="0.9684916817128868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3-28 20:36:27"/>
    <n v="1"/>
    <x v="0"/>
    <x v="0"/>
    <x v="0"/>
    <n v="111"/>
    <n v="0"/>
    <s v="Robinhood CashDropCashOrder.NumberInNumber InEntity"/>
    <n v="5"/>
    <n v="120.8"/>
    <n v="6.8702256149270671"/>
    <n v="0.95"/>
    <n v="8.5305118055922549"/>
    <n v="111"/>
    <n v="127"/>
  </r>
  <r>
    <x v="0"/>
    <s v="2025-03-28 20:36:27"/>
    <n v="1"/>
    <x v="1"/>
    <x v="1"/>
    <x v="0"/>
    <n v="106"/>
    <n v="0"/>
    <s v="Robinhood CashDropCashOrder.NumberOutNumber OutEntity"/>
    <n v="5"/>
    <n v="113.2"/>
    <n v="6.9785385289471602"/>
    <n v="0.95"/>
    <n v="8.6650000514715444"/>
    <n v="106"/>
    <n v="122"/>
  </r>
  <r>
    <x v="0"/>
    <s v="2025-03-28 20:36:27"/>
    <n v="1"/>
    <x v="2"/>
    <x v="2"/>
    <x v="1"/>
    <n v="111"/>
    <n v="0"/>
    <s v="Robinhood CashDropCourier.NumberSeizedTotal Number SeizedResource"/>
    <n v="5"/>
    <n v="120.6"/>
    <n v="6.6558245169174945"/>
    <n v="0.95"/>
    <n v="8.2642976810184106"/>
    <n v="111"/>
    <n v="127"/>
  </r>
  <r>
    <x v="0"/>
    <s v="2025-03-28 20:36:27"/>
    <n v="1"/>
    <x v="3"/>
    <x v="3"/>
    <x v="1"/>
    <n v="8.1975844987714999E-2"/>
    <n v="0"/>
    <s v="Robinhood CashDropCourier.ScheduledUtilizationScheduled UtilizationResource"/>
    <n v="5"/>
    <n v="8.6853217976290573E-2"/>
    <n v="3.9889271851271052E-3"/>
    <n v="0.95"/>
    <n v="4.9529072772286067E-3"/>
    <n v="8.1975844987714999E-2"/>
    <n v="9.2207333756806995E-2"/>
  </r>
  <r>
    <x v="0"/>
    <s v="2025-03-28 20:36:27"/>
    <n v="1"/>
    <x v="4"/>
    <x v="1"/>
    <x v="2"/>
    <n v="106"/>
    <n v="0"/>
    <s v="Robinhood CashDropSystem.NumberOutNumber OutSystem"/>
    <n v="5"/>
    <n v="113.2"/>
    <n v="6.9785385289471602"/>
    <n v="0.95"/>
    <n v="8.6650000514715444"/>
    <n v="106"/>
    <n v="122"/>
  </r>
  <r>
    <x v="0"/>
    <s v="2025-03-28 20:36:27"/>
    <n v="2"/>
    <x v="0"/>
    <x v="0"/>
    <x v="0"/>
    <n v="122"/>
    <n v="0"/>
    <s v="Robinhood CashDropCashOrder.NumberInNumber InEntity"/>
    <n v="5"/>
    <n v="120.8"/>
    <n v="6.8702256149270671"/>
    <n v="0.95"/>
    <n v="8.5305118055922549"/>
    <n v="111"/>
    <n v="127"/>
  </r>
  <r>
    <x v="0"/>
    <s v="2025-03-28 20:36:27"/>
    <n v="2"/>
    <x v="1"/>
    <x v="1"/>
    <x v="0"/>
    <n v="111"/>
    <n v="0"/>
    <s v="Robinhood CashDropCashOrder.NumberOutNumber OutEntity"/>
    <n v="5"/>
    <n v="113.2"/>
    <n v="6.9785385289471602"/>
    <n v="0.95"/>
    <n v="8.6650000514715444"/>
    <n v="106"/>
    <n v="122"/>
  </r>
  <r>
    <x v="0"/>
    <s v="2025-03-28 20:36:27"/>
    <n v="2"/>
    <x v="2"/>
    <x v="2"/>
    <x v="1"/>
    <n v="122"/>
    <n v="0"/>
    <s v="Robinhood CashDropCourier.NumberSeizedTotal Number SeizedResource"/>
    <n v="5"/>
    <n v="120.6"/>
    <n v="6.6558245169174945"/>
    <n v="0.95"/>
    <n v="8.2642976810184106"/>
    <n v="111"/>
    <n v="127"/>
  </r>
  <r>
    <x v="0"/>
    <s v="2025-03-28 20:36:27"/>
    <n v="2"/>
    <x v="3"/>
    <x v="3"/>
    <x v="1"/>
    <n v="8.7871857308807394E-2"/>
    <n v="0"/>
    <s v="Robinhood CashDropCourier.ScheduledUtilizationScheduled UtilizationResource"/>
    <n v="5"/>
    <n v="8.6853217976290573E-2"/>
    <n v="3.9889271851271052E-3"/>
    <n v="0.95"/>
    <n v="4.9529072772286067E-3"/>
    <n v="8.1975844987714999E-2"/>
    <n v="9.2207333756806995E-2"/>
  </r>
  <r>
    <x v="0"/>
    <s v="2025-03-28 20:36:27"/>
    <n v="2"/>
    <x v="4"/>
    <x v="1"/>
    <x v="2"/>
    <n v="111"/>
    <n v="0"/>
    <s v="Robinhood CashDropSystem.NumberOutNumber OutSystem"/>
    <n v="5"/>
    <n v="113.2"/>
    <n v="6.9785385289471602"/>
    <n v="0.95"/>
    <n v="8.6650000514715444"/>
    <n v="106"/>
    <n v="122"/>
  </r>
  <r>
    <x v="0"/>
    <s v="2025-03-28 20:36:27"/>
    <n v="3"/>
    <x v="0"/>
    <x v="0"/>
    <x v="0"/>
    <n v="117"/>
    <n v="0"/>
    <s v="Robinhood CashDropCashOrder.NumberInNumber InEntity"/>
    <n v="5"/>
    <n v="120.8"/>
    <n v="6.8702256149270671"/>
    <n v="0.95"/>
    <n v="8.5305118055922549"/>
    <n v="111"/>
    <n v="127"/>
  </r>
  <r>
    <x v="0"/>
    <s v="2025-03-28 20:36:27"/>
    <n v="3"/>
    <x v="1"/>
    <x v="1"/>
    <x v="0"/>
    <n v="108"/>
    <n v="0"/>
    <s v="Robinhood CashDropCashOrder.NumberOutNumber OutEntity"/>
    <n v="5"/>
    <n v="113.2"/>
    <n v="6.9785385289471602"/>
    <n v="0.95"/>
    <n v="8.6650000514715444"/>
    <n v="106"/>
    <n v="122"/>
  </r>
  <r>
    <x v="0"/>
    <s v="2025-03-28 20:36:27"/>
    <n v="3"/>
    <x v="2"/>
    <x v="2"/>
    <x v="1"/>
    <n v="117"/>
    <n v="0"/>
    <s v="Robinhood CashDropCourier.NumberSeizedTotal Number SeizedResource"/>
    <n v="5"/>
    <n v="120.6"/>
    <n v="6.6558245169174945"/>
    <n v="0.95"/>
    <n v="8.2642976810184106"/>
    <n v="111"/>
    <n v="127"/>
  </r>
  <r>
    <x v="0"/>
    <s v="2025-03-28 20:36:27"/>
    <n v="3"/>
    <x v="3"/>
    <x v="3"/>
    <x v="1"/>
    <n v="8.3980070803799906E-2"/>
    <n v="0"/>
    <s v="Robinhood CashDropCourier.ScheduledUtilizationScheduled UtilizationResource"/>
    <n v="5"/>
    <n v="8.6853217976290573E-2"/>
    <n v="3.9889271851271052E-3"/>
    <n v="0.95"/>
    <n v="4.9529072772286067E-3"/>
    <n v="8.1975844987714999E-2"/>
    <n v="9.2207333756806995E-2"/>
  </r>
  <r>
    <x v="0"/>
    <s v="2025-03-28 20:36:27"/>
    <n v="3"/>
    <x v="4"/>
    <x v="1"/>
    <x v="2"/>
    <n v="108"/>
    <n v="0"/>
    <s v="Robinhood CashDropSystem.NumberOutNumber OutSystem"/>
    <n v="5"/>
    <n v="113.2"/>
    <n v="6.9785385289471602"/>
    <n v="0.95"/>
    <n v="8.6650000514715444"/>
    <n v="106"/>
    <n v="122"/>
  </r>
  <r>
    <x v="0"/>
    <s v="2025-03-28 20:36:27"/>
    <n v="4"/>
    <x v="0"/>
    <x v="0"/>
    <x v="0"/>
    <n v="127"/>
    <n v="0"/>
    <s v="Robinhood CashDropCashOrder.NumberInNumber InEntity"/>
    <n v="5"/>
    <n v="120.8"/>
    <n v="6.8702256149270671"/>
    <n v="0.95"/>
    <n v="8.5305118055922549"/>
    <n v="111"/>
    <n v="127"/>
  </r>
  <r>
    <x v="0"/>
    <s v="2025-03-28 20:36:27"/>
    <n v="4"/>
    <x v="1"/>
    <x v="1"/>
    <x v="0"/>
    <n v="122"/>
    <n v="0"/>
    <s v="Robinhood CashDropCashOrder.NumberOutNumber OutEntity"/>
    <n v="5"/>
    <n v="113.2"/>
    <n v="6.9785385289471602"/>
    <n v="0.95"/>
    <n v="8.6650000514715444"/>
    <n v="106"/>
    <n v="122"/>
  </r>
  <r>
    <x v="0"/>
    <s v="2025-03-28 20:36:27"/>
    <n v="4"/>
    <x v="2"/>
    <x v="2"/>
    <x v="1"/>
    <n v="127"/>
    <n v="0"/>
    <s v="Robinhood CashDropCourier.NumberSeizedTotal Number SeizedResource"/>
    <n v="5"/>
    <n v="120.6"/>
    <n v="6.6558245169174945"/>
    <n v="0.95"/>
    <n v="8.2642976810184106"/>
    <n v="111"/>
    <n v="127"/>
  </r>
  <r>
    <x v="0"/>
    <s v="2025-03-28 20:36:27"/>
    <n v="4"/>
    <x v="3"/>
    <x v="3"/>
    <x v="1"/>
    <n v="9.2207333756806995E-2"/>
    <n v="0"/>
    <s v="Robinhood CashDropCourier.ScheduledUtilizationScheduled UtilizationResource"/>
    <n v="5"/>
    <n v="8.6853217976290573E-2"/>
    <n v="3.9889271851271052E-3"/>
    <n v="0.95"/>
    <n v="4.9529072772286067E-3"/>
    <n v="8.1975844987714999E-2"/>
    <n v="9.2207333756806995E-2"/>
  </r>
  <r>
    <x v="0"/>
    <s v="2025-03-28 20:36:27"/>
    <n v="4"/>
    <x v="4"/>
    <x v="1"/>
    <x v="2"/>
    <n v="122"/>
    <n v="0"/>
    <s v="Robinhood CashDropSystem.NumberOutNumber OutSystem"/>
    <n v="5"/>
    <n v="113.2"/>
    <n v="6.9785385289471602"/>
    <n v="0.95"/>
    <n v="8.6650000514715444"/>
    <n v="106"/>
    <n v="122"/>
  </r>
  <r>
    <x v="0"/>
    <s v="2025-03-28 20:36:27"/>
    <n v="5"/>
    <x v="0"/>
    <x v="0"/>
    <x v="0"/>
    <n v="127"/>
    <n v="0"/>
    <s v="Robinhood CashDropCashOrder.NumberInNumber InEntity"/>
    <n v="5"/>
    <n v="120.8"/>
    <n v="6.8702256149270671"/>
    <n v="0.95"/>
    <n v="8.5305118055922549"/>
    <n v="111"/>
    <n v="127"/>
  </r>
  <r>
    <x v="0"/>
    <s v="2025-03-28 20:36:27"/>
    <n v="5"/>
    <x v="1"/>
    <x v="1"/>
    <x v="0"/>
    <n v="119"/>
    <n v="0"/>
    <s v="Robinhood CashDropCashOrder.NumberOutNumber OutEntity"/>
    <n v="5"/>
    <n v="113.2"/>
    <n v="6.9785385289471602"/>
    <n v="0.95"/>
    <n v="8.6650000514715444"/>
    <n v="106"/>
    <n v="122"/>
  </r>
  <r>
    <x v="0"/>
    <s v="2025-03-28 20:36:27"/>
    <n v="5"/>
    <x v="2"/>
    <x v="2"/>
    <x v="1"/>
    <n v="126"/>
    <n v="0"/>
    <s v="Robinhood CashDropCourier.NumberSeizedTotal Number SeizedResource"/>
    <n v="5"/>
    <n v="120.6"/>
    <n v="6.6558245169174945"/>
    <n v="0.95"/>
    <n v="8.2642976810184106"/>
    <n v="111"/>
    <n v="127"/>
  </r>
  <r>
    <x v="0"/>
    <s v="2025-03-28 20:36:27"/>
    <n v="5"/>
    <x v="3"/>
    <x v="3"/>
    <x v="1"/>
    <n v="8.82309830243235E-2"/>
    <n v="0"/>
    <s v="Robinhood CashDropCourier.ScheduledUtilizationScheduled UtilizationResource"/>
    <n v="5"/>
    <n v="8.6853217976290573E-2"/>
    <n v="3.9889271851271052E-3"/>
    <n v="0.95"/>
    <n v="4.9529072772286067E-3"/>
    <n v="8.1975844987714999E-2"/>
    <n v="9.2207333756806995E-2"/>
  </r>
  <r>
    <x v="0"/>
    <s v="2025-03-28 20:36:27"/>
    <n v="5"/>
    <x v="4"/>
    <x v="1"/>
    <x v="2"/>
    <n v="119"/>
    <n v="0"/>
    <s v="Robinhood CashDropSystem.NumberOutNumber OutSystem"/>
    <n v="5"/>
    <n v="113.2"/>
    <n v="6.9785385289471602"/>
    <n v="0.95"/>
    <n v="8.6650000514715444"/>
    <n v="106"/>
    <n v="12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s v="2025-03-28 20:36:27"/>
    <n v="1"/>
    <x v="0"/>
    <x v="0"/>
    <x v="0"/>
    <n v="5"/>
    <s v="Robinhood CashDropFailedDeliveriesCountUser Specified"/>
    <n v="5"/>
    <n v="3.8"/>
    <n v="1.7888543819998315"/>
    <n v="0.95"/>
    <n v="2.2211560841582338"/>
    <n v="1"/>
    <n v="5"/>
  </r>
  <r>
    <x v="0"/>
    <s v="2025-03-28 20:36:27"/>
    <n v="1"/>
    <x v="1"/>
    <x v="0"/>
    <x v="0"/>
    <n v="101"/>
    <s v="Robinhood CashDropSuccessCountCountUser Specified"/>
    <n v="5"/>
    <n v="109.4"/>
    <n v="8.0187280786917814"/>
    <n v="0.95"/>
    <n v="9.956565966697223"/>
    <n v="101"/>
    <n v="121"/>
  </r>
  <r>
    <x v="0"/>
    <s v="2025-03-28 20:36:27"/>
    <n v="2"/>
    <x v="0"/>
    <x v="0"/>
    <x v="0"/>
    <n v="5"/>
    <s v="Robinhood CashDropFailedDeliveriesCountUser Specified"/>
    <n v="5"/>
    <n v="3.8"/>
    <n v="1.7888543819998315"/>
    <n v="0.95"/>
    <n v="2.2211560841582338"/>
    <n v="1"/>
    <n v="5"/>
  </r>
  <r>
    <x v="0"/>
    <s v="2025-03-28 20:36:27"/>
    <n v="2"/>
    <x v="1"/>
    <x v="0"/>
    <x v="0"/>
    <n v="106"/>
    <s v="Robinhood CashDropSuccessCountCountUser Specified"/>
    <n v="5"/>
    <n v="109.4"/>
    <n v="8.0187280786917814"/>
    <n v="0.95"/>
    <n v="9.956565966697223"/>
    <n v="101"/>
    <n v="121"/>
  </r>
  <r>
    <x v="0"/>
    <s v="2025-03-28 20:36:27"/>
    <n v="3"/>
    <x v="0"/>
    <x v="0"/>
    <x v="0"/>
    <n v="3"/>
    <s v="Robinhood CashDropFailedDeliveriesCountUser Specified"/>
    <n v="5"/>
    <n v="3.8"/>
    <n v="1.7888543819998315"/>
    <n v="0.95"/>
    <n v="2.2211560841582338"/>
    <n v="1"/>
    <n v="5"/>
  </r>
  <r>
    <x v="0"/>
    <s v="2025-03-28 20:36:27"/>
    <n v="3"/>
    <x v="1"/>
    <x v="0"/>
    <x v="0"/>
    <n v="105"/>
    <s v="Robinhood CashDropSuccessCountCountUser Specified"/>
    <n v="5"/>
    <n v="109.4"/>
    <n v="8.0187280786917814"/>
    <n v="0.95"/>
    <n v="9.956565966697223"/>
    <n v="101"/>
    <n v="121"/>
  </r>
  <r>
    <x v="0"/>
    <s v="2025-03-28 20:36:27"/>
    <n v="4"/>
    <x v="0"/>
    <x v="0"/>
    <x v="0"/>
    <n v="1"/>
    <s v="Robinhood CashDropFailedDeliveriesCountUser Specified"/>
    <n v="5"/>
    <n v="3.8"/>
    <n v="1.7888543819998315"/>
    <n v="0.95"/>
    <n v="2.2211560841582338"/>
    <n v="1"/>
    <n v="5"/>
  </r>
  <r>
    <x v="0"/>
    <s v="2025-03-28 20:36:27"/>
    <n v="4"/>
    <x v="1"/>
    <x v="0"/>
    <x v="0"/>
    <n v="121"/>
    <s v="Robinhood CashDropSuccessCountCountUser Specified"/>
    <n v="5"/>
    <n v="109.4"/>
    <n v="8.0187280786917814"/>
    <n v="0.95"/>
    <n v="9.956565966697223"/>
    <n v="101"/>
    <n v="121"/>
  </r>
  <r>
    <x v="0"/>
    <s v="2025-03-28 20:36:27"/>
    <n v="5"/>
    <x v="0"/>
    <x v="0"/>
    <x v="0"/>
    <n v="5"/>
    <s v="Robinhood CashDropFailedDeliveriesCountUser Specified"/>
    <n v="5"/>
    <n v="3.8"/>
    <n v="1.7888543819998315"/>
    <n v="0.95"/>
    <n v="2.2211560841582338"/>
    <n v="1"/>
    <n v="5"/>
  </r>
  <r>
    <x v="0"/>
    <s v="2025-03-28 20:36:27"/>
    <n v="5"/>
    <x v="1"/>
    <x v="0"/>
    <x v="0"/>
    <n v="114"/>
    <s v="Robinhood CashDropSuccessCountCountUser Specified"/>
    <n v="5"/>
    <n v="109.4"/>
    <n v="8.0187280786917814"/>
    <n v="0.95"/>
    <n v="9.956565966697223"/>
    <n v="101"/>
    <n v="12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3-28 20:36:27"/>
    <n v="1"/>
    <x v="0"/>
    <x v="0"/>
    <x v="0"/>
    <n v="0"/>
    <n v="2E+20"/>
    <n v="0"/>
    <n v="0"/>
    <n v="0"/>
    <n v="0"/>
    <s v="Robinhood CashDropAssign Courier.QueueNumber WaitingQueue"/>
    <n v="5"/>
    <n v="0"/>
    <n v="0"/>
    <n v="0.95"/>
    <n v="0"/>
    <n v="0"/>
    <n v="0"/>
    <n v="0"/>
  </r>
  <r>
    <x v="0"/>
    <s v="2025-03-28 20:36:27"/>
    <n v="1"/>
    <x v="1"/>
    <x v="1"/>
    <x v="1"/>
    <n v="7.0141439288164502"/>
    <n v="2E+20"/>
    <n v="0"/>
    <n v="13"/>
    <n v="5"/>
    <n v="0"/>
    <s v="Robinhood CashDropCashOrderWIPEntity"/>
    <n v="5"/>
    <n v="7.6801209539612731"/>
    <n v="0.58882974247662967"/>
    <n v="0.95"/>
    <n v="0.73112869230482469"/>
    <n v="7.0141439288164502"/>
    <n v="8.4592854445662304"/>
    <n v="0.73112869230482469"/>
  </r>
  <r>
    <x v="0"/>
    <s v="2025-03-28 20:36:27"/>
    <n v="1"/>
    <x v="2"/>
    <x v="2"/>
    <x v="2"/>
    <n v="8.1975844987714999E-2"/>
    <n v="2E+20"/>
    <n v="0"/>
    <n v="0.5"/>
    <n v="0"/>
    <n v="0"/>
    <s v="Robinhood CashDropCourierInstantaneous UtilizationResource"/>
    <n v="5"/>
    <n v="8.6853217976290573E-2"/>
    <n v="3.9889271851271052E-3"/>
    <n v="0.95"/>
    <n v="4.9529072772286067E-3"/>
    <n v="8.1975844987714999E-2"/>
    <n v="9.2207333756806995E-2"/>
    <n v="4.9529072772286067E-3"/>
  </r>
  <r>
    <x v="0"/>
    <s v="2025-03-28 20:36:27"/>
    <n v="1"/>
    <x v="2"/>
    <x v="3"/>
    <x v="2"/>
    <n v="0.81975844987714996"/>
    <n v="2E+20"/>
    <n v="0"/>
    <n v="5"/>
    <n v="0"/>
    <n v="0"/>
    <s v="Robinhood CashDropCourierNumber BusyResource"/>
    <n v="5"/>
    <n v="0.86853217976290564"/>
    <n v="3.9889271851271078E-2"/>
    <n v="0.95"/>
    <n v="4.9529072772286103E-2"/>
    <n v="0.81975844987714996"/>
    <n v="0.92207333756806997"/>
    <n v="4.9529072772286103E-2"/>
  </r>
  <r>
    <x v="0"/>
    <s v="2025-03-28 20:36:27"/>
    <n v="1"/>
    <x v="2"/>
    <x v="4"/>
    <x v="2"/>
    <n v="10"/>
    <n v="2E+20"/>
    <n v="10"/>
    <n v="10"/>
    <n v="10"/>
    <n v="0"/>
    <s v="Robinhood CashDropCourierNumber ScheduledResource"/>
    <n v="5"/>
    <n v="10"/>
    <n v="0"/>
    <n v="0.95"/>
    <n v="0"/>
    <n v="10"/>
    <n v="10"/>
    <n v="0"/>
  </r>
  <r>
    <x v="0"/>
    <s v="2025-03-28 20:36:27"/>
    <n v="2"/>
    <x v="0"/>
    <x v="0"/>
    <x v="0"/>
    <n v="0"/>
    <n v="2E+20"/>
    <n v="0"/>
    <n v="0"/>
    <n v="0"/>
    <n v="0"/>
    <s v="Robinhood CashDropAssign Courier.QueueNumber WaitingQueue"/>
    <n v="5"/>
    <n v="0"/>
    <n v="0"/>
    <n v="0.95"/>
    <n v="0"/>
    <n v="0"/>
    <n v="0"/>
    <n v="0"/>
  </r>
  <r>
    <x v="0"/>
    <s v="2025-03-28 20:36:27"/>
    <n v="2"/>
    <x v="1"/>
    <x v="1"/>
    <x v="1"/>
    <n v="7.7019807209645803"/>
    <n v="2E+20"/>
    <n v="0"/>
    <n v="19"/>
    <n v="11"/>
    <n v="0"/>
    <s v="Robinhood CashDropCashOrderWIPEntity"/>
    <n v="5"/>
    <n v="7.6801209539612731"/>
    <n v="0.58882974247662967"/>
    <n v="0.95"/>
    <n v="0.73112869230482469"/>
    <n v="7.0141439288164502"/>
    <n v="8.4592854445662304"/>
    <n v="0.73112869230482469"/>
  </r>
  <r>
    <x v="0"/>
    <s v="2025-03-28 20:36:27"/>
    <n v="2"/>
    <x v="2"/>
    <x v="2"/>
    <x v="2"/>
    <n v="8.7871857308807394E-2"/>
    <n v="2E+20"/>
    <n v="0"/>
    <n v="0.4"/>
    <n v="0.1"/>
    <n v="0"/>
    <s v="Robinhood CashDropCourierInstantaneous UtilizationResource"/>
    <n v="5"/>
    <n v="8.6853217976290573E-2"/>
    <n v="3.9889271851271052E-3"/>
    <n v="0.95"/>
    <n v="4.9529072772286067E-3"/>
    <n v="8.1975844987714999E-2"/>
    <n v="9.2207333756806995E-2"/>
    <n v="4.9529072772286067E-3"/>
  </r>
  <r>
    <x v="0"/>
    <s v="2025-03-28 20:36:27"/>
    <n v="2"/>
    <x v="2"/>
    <x v="3"/>
    <x v="2"/>
    <n v="0.878718573088074"/>
    <n v="2E+20"/>
    <n v="0"/>
    <n v="4"/>
    <n v="1"/>
    <n v="0"/>
    <s v="Robinhood CashDropCourierNumber BusyResource"/>
    <n v="5"/>
    <n v="0.86853217976290564"/>
    <n v="3.9889271851271078E-2"/>
    <n v="0.95"/>
    <n v="4.9529072772286103E-2"/>
    <n v="0.81975844987714996"/>
    <n v="0.92207333756806997"/>
    <n v="4.9529072772286103E-2"/>
  </r>
  <r>
    <x v="0"/>
    <s v="2025-03-28 20:36:27"/>
    <n v="2"/>
    <x v="2"/>
    <x v="4"/>
    <x v="2"/>
    <n v="10"/>
    <n v="2E+20"/>
    <n v="10"/>
    <n v="10"/>
    <n v="10"/>
    <n v="0"/>
    <s v="Robinhood CashDropCourierNumber ScheduledResource"/>
    <n v="5"/>
    <n v="10"/>
    <n v="0"/>
    <n v="0.95"/>
    <n v="0"/>
    <n v="10"/>
    <n v="10"/>
    <n v="0"/>
  </r>
  <r>
    <x v="0"/>
    <s v="2025-03-28 20:36:27"/>
    <n v="3"/>
    <x v="0"/>
    <x v="0"/>
    <x v="0"/>
    <n v="0"/>
    <n v="2E+20"/>
    <n v="0"/>
    <n v="0"/>
    <n v="0"/>
    <n v="0"/>
    <s v="Robinhood CashDropAssign Courier.QueueNumber WaitingQueue"/>
    <n v="5"/>
    <n v="0"/>
    <n v="0"/>
    <n v="0.95"/>
    <n v="0"/>
    <n v="0"/>
    <n v="0"/>
    <n v="0"/>
  </r>
  <r>
    <x v="0"/>
    <s v="2025-03-28 20:36:27"/>
    <n v="3"/>
    <x v="1"/>
    <x v="1"/>
    <x v="1"/>
    <n v="7.2084547674969102"/>
    <n v="2E+20"/>
    <n v="0"/>
    <n v="16"/>
    <n v="9"/>
    <n v="0"/>
    <s v="Robinhood CashDropCashOrderWIPEntity"/>
    <n v="5"/>
    <n v="7.6801209539612731"/>
    <n v="0.58882974247662967"/>
    <n v="0.95"/>
    <n v="0.73112869230482469"/>
    <n v="7.0141439288164502"/>
    <n v="8.4592854445662304"/>
    <n v="0.73112869230482469"/>
  </r>
  <r>
    <x v="0"/>
    <s v="2025-03-28 20:36:27"/>
    <n v="3"/>
    <x v="2"/>
    <x v="2"/>
    <x v="2"/>
    <n v="8.3980070803799906E-2"/>
    <n v="2E+20"/>
    <n v="0"/>
    <n v="0.4"/>
    <n v="0"/>
    <n v="0"/>
    <s v="Robinhood CashDropCourierInstantaneous UtilizationResource"/>
    <n v="5"/>
    <n v="8.6853217976290573E-2"/>
    <n v="3.9889271851271052E-3"/>
    <n v="0.95"/>
    <n v="4.9529072772286067E-3"/>
    <n v="8.1975844987714999E-2"/>
    <n v="9.2207333756806995E-2"/>
    <n v="4.9529072772286067E-3"/>
  </r>
  <r>
    <x v="0"/>
    <s v="2025-03-28 20:36:27"/>
    <n v="3"/>
    <x v="2"/>
    <x v="3"/>
    <x v="2"/>
    <n v="0.839800708037999"/>
    <n v="2E+20"/>
    <n v="0"/>
    <n v="4"/>
    <n v="0"/>
    <n v="0"/>
    <s v="Robinhood CashDropCourierNumber BusyResource"/>
    <n v="5"/>
    <n v="0.86853217976290564"/>
    <n v="3.9889271851271078E-2"/>
    <n v="0.95"/>
    <n v="4.9529072772286103E-2"/>
    <n v="0.81975844987714996"/>
    <n v="0.92207333756806997"/>
    <n v="4.9529072772286103E-2"/>
  </r>
  <r>
    <x v="0"/>
    <s v="2025-03-28 20:36:27"/>
    <n v="3"/>
    <x v="2"/>
    <x v="4"/>
    <x v="2"/>
    <n v="10"/>
    <n v="2E+20"/>
    <n v="10"/>
    <n v="10"/>
    <n v="10"/>
    <n v="0"/>
    <s v="Robinhood CashDropCourierNumber ScheduledResource"/>
    <n v="5"/>
    <n v="10"/>
    <n v="0"/>
    <n v="0.95"/>
    <n v="0"/>
    <n v="10"/>
    <n v="10"/>
    <n v="0"/>
  </r>
  <r>
    <x v="0"/>
    <s v="2025-03-28 20:36:27"/>
    <n v="4"/>
    <x v="0"/>
    <x v="0"/>
    <x v="0"/>
    <n v="0"/>
    <n v="2E+20"/>
    <n v="0"/>
    <n v="0"/>
    <n v="0"/>
    <n v="0"/>
    <s v="Robinhood CashDropAssign Courier.QueueNumber WaitingQueue"/>
    <n v="5"/>
    <n v="0"/>
    <n v="0"/>
    <n v="0.95"/>
    <n v="0"/>
    <n v="0"/>
    <n v="0"/>
    <n v="0"/>
  </r>
  <r>
    <x v="0"/>
    <s v="2025-03-28 20:36:27"/>
    <n v="4"/>
    <x v="1"/>
    <x v="1"/>
    <x v="1"/>
    <n v="8.4592854445662304"/>
    <n v="2E+20"/>
    <n v="0"/>
    <n v="16"/>
    <n v="5"/>
    <n v="0"/>
    <s v="Robinhood CashDropCashOrderWIPEntity"/>
    <n v="5"/>
    <n v="7.6801209539612731"/>
    <n v="0.58882974247662967"/>
    <n v="0.95"/>
    <n v="0.73112869230482469"/>
    <n v="7.0141439288164502"/>
    <n v="8.4592854445662304"/>
    <n v="0.73112869230482469"/>
  </r>
  <r>
    <x v="0"/>
    <s v="2025-03-28 20:36:27"/>
    <n v="4"/>
    <x v="2"/>
    <x v="2"/>
    <x v="2"/>
    <n v="9.2207333756806995E-2"/>
    <n v="2E+20"/>
    <n v="0"/>
    <n v="0.5"/>
    <n v="0.1"/>
    <n v="0"/>
    <s v="Robinhood CashDropCourierInstantaneous UtilizationResource"/>
    <n v="5"/>
    <n v="8.6853217976290573E-2"/>
    <n v="3.9889271851271052E-3"/>
    <n v="0.95"/>
    <n v="4.9529072772286067E-3"/>
    <n v="8.1975844987714999E-2"/>
    <n v="9.2207333756806995E-2"/>
    <n v="4.9529072772286067E-3"/>
  </r>
  <r>
    <x v="0"/>
    <s v="2025-03-28 20:36:27"/>
    <n v="4"/>
    <x v="2"/>
    <x v="3"/>
    <x v="2"/>
    <n v="0.92207333756806997"/>
    <n v="2E+20"/>
    <n v="0"/>
    <n v="5"/>
    <n v="1"/>
    <n v="0"/>
    <s v="Robinhood CashDropCourierNumber BusyResource"/>
    <n v="5"/>
    <n v="0.86853217976290564"/>
    <n v="3.9889271851271078E-2"/>
    <n v="0.95"/>
    <n v="4.9529072772286103E-2"/>
    <n v="0.81975844987714996"/>
    <n v="0.92207333756806997"/>
    <n v="4.9529072772286103E-2"/>
  </r>
  <r>
    <x v="0"/>
    <s v="2025-03-28 20:36:27"/>
    <n v="4"/>
    <x v="2"/>
    <x v="4"/>
    <x v="2"/>
    <n v="10"/>
    <n v="2E+20"/>
    <n v="10"/>
    <n v="10"/>
    <n v="10"/>
    <n v="0"/>
    <s v="Robinhood CashDropCourierNumber ScheduledResource"/>
    <n v="5"/>
    <n v="10"/>
    <n v="0"/>
    <n v="0.95"/>
    <n v="0"/>
    <n v="10"/>
    <n v="10"/>
    <n v="0"/>
  </r>
  <r>
    <x v="0"/>
    <s v="2025-03-28 20:36:27"/>
    <n v="5"/>
    <x v="0"/>
    <x v="0"/>
    <x v="0"/>
    <n v="0"/>
    <n v="2E+20"/>
    <n v="0"/>
    <n v="0"/>
    <n v="0"/>
    <n v="0"/>
    <s v="Robinhood CashDropAssign Courier.QueueNumber WaitingQueue"/>
    <n v="5"/>
    <n v="0"/>
    <n v="0"/>
    <n v="0.95"/>
    <n v="0"/>
    <n v="0"/>
    <n v="0"/>
    <n v="0"/>
  </r>
  <r>
    <x v="0"/>
    <s v="2025-03-28 20:36:27"/>
    <n v="5"/>
    <x v="1"/>
    <x v="1"/>
    <x v="1"/>
    <n v="8.0167399079621902"/>
    <n v="2E+20"/>
    <n v="0"/>
    <n v="15"/>
    <n v="8"/>
    <n v="0"/>
    <s v="Robinhood CashDropCashOrderWIPEntity"/>
    <n v="5"/>
    <n v="7.6801209539612731"/>
    <n v="0.58882974247662967"/>
    <n v="0.95"/>
    <n v="0.73112869230482469"/>
    <n v="7.0141439288164502"/>
    <n v="8.4592854445662304"/>
    <n v="0.73112869230482469"/>
  </r>
  <r>
    <x v="0"/>
    <s v="2025-03-28 20:36:27"/>
    <n v="5"/>
    <x v="2"/>
    <x v="2"/>
    <x v="2"/>
    <n v="8.82309830243235E-2"/>
    <n v="2E+20"/>
    <n v="0"/>
    <n v="0.4"/>
    <n v="0"/>
    <n v="0"/>
    <s v="Robinhood CashDropCourierInstantaneous UtilizationResource"/>
    <n v="5"/>
    <n v="8.6853217976290573E-2"/>
    <n v="3.9889271851271052E-3"/>
    <n v="0.95"/>
    <n v="4.9529072772286067E-3"/>
    <n v="8.1975844987714999E-2"/>
    <n v="9.2207333756806995E-2"/>
    <n v="4.9529072772286067E-3"/>
  </r>
  <r>
    <x v="0"/>
    <s v="2025-03-28 20:36:27"/>
    <n v="5"/>
    <x v="2"/>
    <x v="3"/>
    <x v="2"/>
    <n v="0.88230983024323495"/>
    <n v="2E+20"/>
    <n v="0"/>
    <n v="4"/>
    <n v="0"/>
    <n v="0"/>
    <s v="Robinhood CashDropCourierNumber BusyResource"/>
    <n v="5"/>
    <n v="0.86853217976290564"/>
    <n v="3.9889271851271078E-2"/>
    <n v="0.95"/>
    <n v="4.9529072772286103E-2"/>
    <n v="0.81975844987714996"/>
    <n v="0.92207333756806997"/>
    <n v="4.9529072772286103E-2"/>
  </r>
  <r>
    <x v="0"/>
    <s v="2025-03-28 20:36:27"/>
    <n v="5"/>
    <x v="2"/>
    <x v="4"/>
    <x v="2"/>
    <n v="10"/>
    <n v="2E+20"/>
    <n v="10"/>
    <n v="10"/>
    <n v="10"/>
    <n v="0"/>
    <s v="Robinhood CashDropCourierNumber ScheduledResource"/>
    <n v="5"/>
    <n v="10"/>
    <n v="0"/>
    <n v="0.95"/>
    <n v="0"/>
    <n v="10"/>
    <n v="1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3-28 20:36:27"/>
    <n v="1"/>
    <x v="0"/>
    <x v="0"/>
    <x v="0"/>
    <n v="0"/>
    <n v="2E+20"/>
    <n v="0"/>
    <n v="0"/>
    <n v="111"/>
    <s v="Robinhood CashDropAssign Courier.QueueWaiting TimeQueue"/>
    <n v="5"/>
    <n v="0"/>
    <n v="0"/>
    <n v="0.95"/>
    <n v="0"/>
    <n v="0"/>
    <n v="0"/>
    <n v="0"/>
    <n v="0"/>
    <n v="120.6"/>
    <n v="0"/>
    <n v="5"/>
    <n v="1"/>
  </r>
  <r>
    <x v="0"/>
    <s v="2025-03-28 20:36:27"/>
    <n v="2"/>
    <x v="0"/>
    <x v="0"/>
    <x v="0"/>
    <n v="0"/>
    <n v="2E+20"/>
    <n v="0"/>
    <n v="0"/>
    <n v="122"/>
    <s v="Robinhood CashDropAssign Courier.QueueWaiting TimeQueue"/>
    <n v="5"/>
    <n v="0"/>
    <n v="0"/>
    <n v="0.95"/>
    <n v="0"/>
    <n v="0"/>
    <n v="0"/>
    <n v="0"/>
    <n v="0"/>
    <n v="120.6"/>
    <n v="0"/>
    <n v="5"/>
    <n v="1"/>
  </r>
  <r>
    <x v="0"/>
    <s v="2025-03-28 20:36:27"/>
    <n v="3"/>
    <x v="0"/>
    <x v="0"/>
    <x v="0"/>
    <n v="0"/>
    <n v="2E+20"/>
    <n v="0"/>
    <n v="0"/>
    <n v="117"/>
    <s v="Robinhood CashDropAssign Courier.QueueWaiting TimeQueue"/>
    <n v="5"/>
    <n v="0"/>
    <n v="0"/>
    <n v="0.95"/>
    <n v="0"/>
    <n v="0"/>
    <n v="0"/>
    <n v="0"/>
    <n v="0"/>
    <n v="120.6"/>
    <n v="0"/>
    <n v="5"/>
    <n v="1"/>
  </r>
  <r>
    <x v="0"/>
    <s v="2025-03-28 20:36:27"/>
    <n v="4"/>
    <x v="0"/>
    <x v="0"/>
    <x v="0"/>
    <n v="0"/>
    <n v="2E+20"/>
    <n v="0"/>
    <n v="0"/>
    <n v="127"/>
    <s v="Robinhood CashDropAssign Courier.QueueWaiting TimeQueue"/>
    <n v="5"/>
    <n v="0"/>
    <n v="0"/>
    <n v="0.95"/>
    <n v="0"/>
    <n v="0"/>
    <n v="0"/>
    <n v="0"/>
    <n v="0"/>
    <n v="120.6"/>
    <n v="0"/>
    <n v="5"/>
    <n v="1"/>
  </r>
  <r>
    <x v="0"/>
    <s v="2025-03-28 20:36:27"/>
    <n v="5"/>
    <x v="0"/>
    <x v="0"/>
    <x v="0"/>
    <n v="0"/>
    <n v="2E+20"/>
    <n v="0"/>
    <n v="0"/>
    <n v="126"/>
    <s v="Robinhood CashDropAssign Courier.QueueWaiting TimeQueue"/>
    <n v="5"/>
    <n v="0"/>
    <n v="0"/>
    <n v="0.95"/>
    <n v="0"/>
    <n v="0"/>
    <n v="0"/>
    <n v="0"/>
    <n v="0"/>
    <n v="120.6"/>
    <n v="0"/>
    <n v="5"/>
    <n v="1"/>
  </r>
  <r>
    <x v="0"/>
    <s v="2025-03-28 20:36:27"/>
    <n v="1"/>
    <x v="1"/>
    <x v="1"/>
    <x v="1"/>
    <n v="0"/>
    <n v="2E+20"/>
    <n v="0"/>
    <n v="0"/>
    <n v="106"/>
    <s v="Robinhood CashDropCashOrderNVA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1"/>
    <x v="1"/>
    <x v="2"/>
    <x v="1"/>
    <n v="20.8446454495597"/>
    <n v="2E+20"/>
    <n v="0"/>
    <n v="34.005160746902803"/>
    <n v="106"/>
    <s v="Robinhood CashDropCashOrderOther TimeEntity"/>
    <n v="5"/>
    <n v="21.418917589108482"/>
    <n v="0.74870371872994546"/>
    <n v="0.95"/>
    <n v="0.92963845286825031"/>
    <n v="20.8446454495597"/>
    <n v="22.677063170257899"/>
    <n v="0"/>
    <n v="34.382922287829402"/>
    <n v="113.2"/>
    <n v="0.92963845286825031"/>
    <n v="5"/>
    <n v="1"/>
  </r>
  <r>
    <x v="0"/>
    <s v="2025-03-28 20:36:27"/>
    <n v="1"/>
    <x v="1"/>
    <x v="3"/>
    <x v="1"/>
    <n v="30.826495039280601"/>
    <n v="2E+20"/>
    <n v="6.7070875372228604"/>
    <n v="45.319532259570998"/>
    <n v="106"/>
    <s v="Robinhood CashDropCashOrderTotal TimeEntity"/>
    <n v="5"/>
    <n v="31.326099896859784"/>
    <n v="0.77999497699372944"/>
    <n v="0.95"/>
    <n v="0.9684916817128868"/>
    <n v="30.762642441351002"/>
    <n v="32.671346265611703"/>
    <n v="6.7070875372228604"/>
    <n v="45.319532259570998"/>
    <n v="113.2"/>
    <n v="0.9684916817128868"/>
    <n v="5"/>
    <n v="1"/>
  </r>
  <r>
    <x v="0"/>
    <s v="2025-03-28 20:36:27"/>
    <n v="1"/>
    <x v="1"/>
    <x v="4"/>
    <x v="1"/>
    <n v="0"/>
    <n v="2E+20"/>
    <n v="0"/>
    <n v="0"/>
    <n v="106"/>
    <s v="Robinhood CashDropCashOrderTransfer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1"/>
    <x v="1"/>
    <x v="5"/>
    <x v="1"/>
    <n v="9.9818495897209303"/>
    <n v="2E+20"/>
    <n v="6.7070875372228604"/>
    <n v="11.8107960732785"/>
    <n v="106"/>
    <s v="Robinhood CashDropCashOrderVA TimeEntity"/>
    <n v="5"/>
    <n v="9.9071823077513006"/>
    <n v="8.7512735869219413E-2"/>
    <n v="0.95"/>
    <n v="0.10866141351312492"/>
    <n v="9.7845392322071394"/>
    <n v="9.9942830953537705"/>
    <n v="6.3576468373062802"/>
    <n v="11.8785793980637"/>
    <n v="113.2"/>
    <n v="0.10866141351312492"/>
    <n v="5"/>
    <n v="1"/>
  </r>
  <r>
    <x v="0"/>
    <s v="2025-03-28 20:36:27"/>
    <n v="1"/>
    <x v="1"/>
    <x v="6"/>
    <x v="1"/>
    <n v="0"/>
    <n v="2E+20"/>
    <n v="0"/>
    <n v="0"/>
    <n v="106"/>
    <s v="Robinhood CashDropCashOrderWait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2"/>
    <x v="1"/>
    <x v="1"/>
    <x v="1"/>
    <n v="0"/>
    <n v="2E+20"/>
    <n v="0"/>
    <n v="0"/>
    <n v="111"/>
    <s v="Robinhood CashDropCashOrderNVA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2"/>
    <x v="1"/>
    <x v="2"/>
    <x v="1"/>
    <n v="20.903879683493201"/>
    <n v="2E+20"/>
    <n v="0"/>
    <n v="33.877482382082597"/>
    <n v="111"/>
    <s v="Robinhood CashDropCashOrderOther TimeEntity"/>
    <n v="5"/>
    <n v="21.418917589108482"/>
    <n v="0.74870371872994546"/>
    <n v="0.95"/>
    <n v="0.92963845286825031"/>
    <n v="20.8446454495597"/>
    <n v="22.677063170257899"/>
    <n v="0"/>
    <n v="34.382922287829402"/>
    <n v="113.2"/>
    <n v="0.92963845286825031"/>
    <n v="5"/>
    <n v="1"/>
  </r>
  <r>
    <x v="0"/>
    <s v="2025-03-28 20:36:27"/>
    <n v="2"/>
    <x v="1"/>
    <x v="3"/>
    <x v="1"/>
    <n v="30.762642441351002"/>
    <n v="2E+20"/>
    <n v="7.8047083791308296"/>
    <n v="44.662565630148897"/>
    <n v="111"/>
    <s v="Robinhood CashDropCashOrderTotal TimeEntity"/>
    <n v="5"/>
    <n v="31.326099896859784"/>
    <n v="0.77999497699372944"/>
    <n v="0.95"/>
    <n v="0.9684916817128868"/>
    <n v="30.762642441351002"/>
    <n v="32.671346265611703"/>
    <n v="6.7070875372228604"/>
    <n v="45.319532259570998"/>
    <n v="113.2"/>
    <n v="0.9684916817128868"/>
    <n v="5"/>
    <n v="1"/>
  </r>
  <r>
    <x v="0"/>
    <s v="2025-03-28 20:36:27"/>
    <n v="2"/>
    <x v="1"/>
    <x v="4"/>
    <x v="1"/>
    <n v="0"/>
    <n v="2E+20"/>
    <n v="0"/>
    <n v="0"/>
    <n v="111"/>
    <s v="Robinhood CashDropCashOrderTransfer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2"/>
    <x v="1"/>
    <x v="5"/>
    <x v="1"/>
    <n v="9.8587627578577806"/>
    <n v="2E+20"/>
    <n v="6.57117995418995"/>
    <n v="11.8154058038303"/>
    <n v="111"/>
    <s v="Robinhood CashDropCashOrderVA TimeEntity"/>
    <n v="5"/>
    <n v="9.9071823077513006"/>
    <n v="8.7512735869219413E-2"/>
    <n v="0.95"/>
    <n v="0.10866141351312492"/>
    <n v="9.7845392322071394"/>
    <n v="9.9942830953537705"/>
    <n v="6.3576468373062802"/>
    <n v="11.8785793980637"/>
    <n v="113.2"/>
    <n v="0.10866141351312492"/>
    <n v="5"/>
    <n v="1"/>
  </r>
  <r>
    <x v="0"/>
    <s v="2025-03-28 20:36:27"/>
    <n v="2"/>
    <x v="1"/>
    <x v="6"/>
    <x v="1"/>
    <n v="0"/>
    <n v="2E+20"/>
    <n v="0"/>
    <n v="0"/>
    <n v="111"/>
    <s v="Robinhood CashDropCashOrderWait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3"/>
    <x v="1"/>
    <x v="1"/>
    <x v="1"/>
    <n v="0"/>
    <n v="2E+20"/>
    <n v="0"/>
    <n v="0"/>
    <n v="108"/>
    <s v="Robinhood CashDropCashOrderNVA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3"/>
    <x v="1"/>
    <x v="2"/>
    <x v="1"/>
    <n v="21.176396252518899"/>
    <n v="2E+20"/>
    <n v="0"/>
    <n v="32.780129642560603"/>
    <n v="108"/>
    <s v="Robinhood CashDropCashOrderOther TimeEntity"/>
    <n v="5"/>
    <n v="21.418917589108482"/>
    <n v="0.74870371872994546"/>
    <n v="0.95"/>
    <n v="0.92963845286825031"/>
    <n v="20.8446454495597"/>
    <n v="22.677063170257899"/>
    <n v="0"/>
    <n v="34.382922287829402"/>
    <n v="113.2"/>
    <n v="0.92963845286825031"/>
    <n v="5"/>
    <n v="1"/>
  </r>
  <r>
    <x v="0"/>
    <s v="2025-03-28 20:36:27"/>
    <n v="3"/>
    <x v="1"/>
    <x v="3"/>
    <x v="1"/>
    <n v="31.092873116135799"/>
    <n v="2E+20"/>
    <n v="7.3972680566434397"/>
    <n v="43.764590128834897"/>
    <n v="108"/>
    <s v="Robinhood CashDropCashOrderTotal TimeEntity"/>
    <n v="5"/>
    <n v="31.326099896859784"/>
    <n v="0.77999497699372944"/>
    <n v="0.95"/>
    <n v="0.9684916817128868"/>
    <n v="30.762642441351002"/>
    <n v="32.671346265611703"/>
    <n v="6.7070875372228604"/>
    <n v="45.319532259570998"/>
    <n v="113.2"/>
    <n v="0.9684916817128868"/>
    <n v="5"/>
    <n v="1"/>
  </r>
  <r>
    <x v="0"/>
    <s v="2025-03-28 20:36:27"/>
    <n v="3"/>
    <x v="1"/>
    <x v="4"/>
    <x v="1"/>
    <n v="0"/>
    <n v="2E+20"/>
    <n v="0"/>
    <n v="0"/>
    <n v="108"/>
    <s v="Robinhood CashDropCashOrderTransfer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3"/>
    <x v="1"/>
    <x v="5"/>
    <x v="1"/>
    <n v="9.9164768636168805"/>
    <n v="2E+20"/>
    <n v="7.0548200850508902"/>
    <n v="11.8785793980637"/>
    <n v="108"/>
    <s v="Robinhood CashDropCashOrderVA TimeEntity"/>
    <n v="5"/>
    <n v="9.9071823077513006"/>
    <n v="8.7512735869219413E-2"/>
    <n v="0.95"/>
    <n v="0.10866141351312492"/>
    <n v="9.7845392322071394"/>
    <n v="9.9942830953537705"/>
    <n v="6.3576468373062802"/>
    <n v="11.8785793980637"/>
    <n v="113.2"/>
    <n v="0.10866141351312492"/>
    <n v="5"/>
    <n v="1"/>
  </r>
  <r>
    <x v="0"/>
    <s v="2025-03-28 20:36:27"/>
    <n v="3"/>
    <x v="1"/>
    <x v="6"/>
    <x v="1"/>
    <n v="0"/>
    <n v="2E+20"/>
    <n v="0"/>
    <n v="0"/>
    <n v="108"/>
    <s v="Robinhood CashDropCashOrderWait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4"/>
    <x v="1"/>
    <x v="1"/>
    <x v="1"/>
    <n v="0"/>
    <n v="2E+20"/>
    <n v="0"/>
    <n v="0"/>
    <n v="122"/>
    <s v="Robinhood CashDropCashOrderNVA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4"/>
    <x v="1"/>
    <x v="2"/>
    <x v="1"/>
    <n v="22.677063170257899"/>
    <n v="2E+20"/>
    <n v="10.969467970207001"/>
    <n v="34.382922287829402"/>
    <n v="122"/>
    <s v="Robinhood CashDropCashOrderOther TimeEntity"/>
    <n v="5"/>
    <n v="21.418917589108482"/>
    <n v="0.74870371872994546"/>
    <n v="0.95"/>
    <n v="0.92963845286825031"/>
    <n v="20.8446454495597"/>
    <n v="22.677063170257899"/>
    <n v="0"/>
    <n v="34.382922287829402"/>
    <n v="113.2"/>
    <n v="0.92963845286825031"/>
    <n v="5"/>
    <n v="1"/>
  </r>
  <r>
    <x v="0"/>
    <s v="2025-03-28 20:36:27"/>
    <n v="4"/>
    <x v="1"/>
    <x v="3"/>
    <x v="1"/>
    <n v="32.671346265611703"/>
    <n v="2E+20"/>
    <n v="20.814986927929699"/>
    <n v="44.5524682342826"/>
    <n v="122"/>
    <s v="Robinhood CashDropCashOrderTotal TimeEntity"/>
    <n v="5"/>
    <n v="31.326099896859784"/>
    <n v="0.77999497699372944"/>
    <n v="0.95"/>
    <n v="0.9684916817128868"/>
    <n v="30.762642441351002"/>
    <n v="32.671346265611703"/>
    <n v="6.7070875372228604"/>
    <n v="45.319532259570998"/>
    <n v="113.2"/>
    <n v="0.9684916817128868"/>
    <n v="5"/>
    <n v="1"/>
  </r>
  <r>
    <x v="0"/>
    <s v="2025-03-28 20:36:27"/>
    <n v="4"/>
    <x v="1"/>
    <x v="4"/>
    <x v="1"/>
    <n v="0"/>
    <n v="2E+20"/>
    <n v="0"/>
    <n v="0"/>
    <n v="122"/>
    <s v="Robinhood CashDropCashOrderTransfer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4"/>
    <x v="1"/>
    <x v="5"/>
    <x v="1"/>
    <n v="9.9942830953537705"/>
    <n v="2E+20"/>
    <n v="8.1486132368585498"/>
    <n v="11.768070225028"/>
    <n v="122"/>
    <s v="Robinhood CashDropCashOrderVA TimeEntity"/>
    <n v="5"/>
    <n v="9.9071823077513006"/>
    <n v="8.7512735869219413E-2"/>
    <n v="0.95"/>
    <n v="0.10866141351312492"/>
    <n v="9.7845392322071394"/>
    <n v="9.9942830953537705"/>
    <n v="6.3576468373062802"/>
    <n v="11.8785793980637"/>
    <n v="113.2"/>
    <n v="0.10866141351312492"/>
    <n v="5"/>
    <n v="1"/>
  </r>
  <r>
    <x v="0"/>
    <s v="2025-03-28 20:36:27"/>
    <n v="4"/>
    <x v="1"/>
    <x v="6"/>
    <x v="1"/>
    <n v="0"/>
    <n v="2E+20"/>
    <n v="0"/>
    <n v="0"/>
    <n v="122"/>
    <s v="Robinhood CashDropCashOrderWait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5"/>
    <x v="1"/>
    <x v="1"/>
    <x v="1"/>
    <n v="0"/>
    <n v="2E+20"/>
    <n v="0"/>
    <n v="0"/>
    <n v="119"/>
    <s v="Robinhood CashDropCashOrderNVA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5"/>
    <x v="1"/>
    <x v="2"/>
    <x v="1"/>
    <n v="21.492603389712698"/>
    <n v="2E+20"/>
    <n v="11.7627493355669"/>
    <n v="32.939742677751902"/>
    <n v="119"/>
    <s v="Robinhood CashDropCashOrderOther TimeEntity"/>
    <n v="5"/>
    <n v="21.418917589108482"/>
    <n v="0.74870371872994546"/>
    <n v="0.95"/>
    <n v="0.92963845286825031"/>
    <n v="20.8446454495597"/>
    <n v="22.677063170257899"/>
    <n v="0"/>
    <n v="34.382922287829402"/>
    <n v="113.2"/>
    <n v="0.92963845286825031"/>
    <n v="5"/>
    <n v="1"/>
  </r>
  <r>
    <x v="0"/>
    <s v="2025-03-28 20:36:27"/>
    <n v="5"/>
    <x v="1"/>
    <x v="3"/>
    <x v="1"/>
    <n v="31.277142621919801"/>
    <n v="2E+20"/>
    <n v="19.961052381467098"/>
    <n v="43.356455734160903"/>
    <n v="119"/>
    <s v="Robinhood CashDropCashOrderTotal TimeEntity"/>
    <n v="5"/>
    <n v="31.326099896859784"/>
    <n v="0.77999497699372944"/>
    <n v="0.95"/>
    <n v="0.9684916817128868"/>
    <n v="30.762642441351002"/>
    <n v="32.671346265611703"/>
    <n v="6.7070875372228604"/>
    <n v="45.319532259570998"/>
    <n v="113.2"/>
    <n v="0.9684916817128868"/>
    <n v="5"/>
    <n v="1"/>
  </r>
  <r>
    <x v="0"/>
    <s v="2025-03-28 20:36:27"/>
    <n v="5"/>
    <x v="1"/>
    <x v="4"/>
    <x v="1"/>
    <n v="0"/>
    <n v="2E+20"/>
    <n v="0"/>
    <n v="0"/>
    <n v="119"/>
    <s v="Robinhood CashDropCashOrderTransfer TimeEntity"/>
    <n v="5"/>
    <n v="0"/>
    <n v="0"/>
    <n v="0.95"/>
    <n v="0"/>
    <n v="0"/>
    <n v="0"/>
    <n v="0"/>
    <n v="0"/>
    <n v="113.2"/>
    <n v="0"/>
    <n v="5"/>
    <n v="1"/>
  </r>
  <r>
    <x v="0"/>
    <s v="2025-03-28 20:36:27"/>
    <n v="5"/>
    <x v="1"/>
    <x v="5"/>
    <x v="1"/>
    <n v="9.7845392322071394"/>
    <n v="2E+20"/>
    <n v="6.3576468373062802"/>
    <n v="11.7175797286849"/>
    <n v="119"/>
    <s v="Robinhood CashDropCashOrderVA TimeEntity"/>
    <n v="5"/>
    <n v="9.9071823077513006"/>
    <n v="8.7512735869219413E-2"/>
    <n v="0.95"/>
    <n v="0.10866141351312492"/>
    <n v="9.7845392322071394"/>
    <n v="9.9942830953537705"/>
    <n v="6.3576468373062802"/>
    <n v="11.8785793980637"/>
    <n v="113.2"/>
    <n v="0.10866141351312492"/>
    <n v="5"/>
    <n v="1"/>
  </r>
  <r>
    <x v="0"/>
    <s v="2025-03-28 20:36:27"/>
    <n v="5"/>
    <x v="1"/>
    <x v="6"/>
    <x v="1"/>
    <n v="0"/>
    <n v="2E+20"/>
    <n v="0"/>
    <n v="0"/>
    <n v="119"/>
    <s v="Robinhood CashDropCashOrderWait TimeEntity"/>
    <n v="5"/>
    <n v="0"/>
    <n v="0"/>
    <n v="0.95"/>
    <n v="0"/>
    <n v="0"/>
    <n v="0"/>
    <n v="0"/>
    <n v="0"/>
    <n v="113.2"/>
    <n v="0"/>
    <n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4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4"/>
      <x v="124"/>
      <x v="3"/>
      <x v="1"/>
    </i>
    <i r="1">
      <x v="125"/>
      <x v="4"/>
      <x/>
    </i>
    <i r="1">
      <x v="12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4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1" tableType="queryTable" totalsRowShown="0">
  <autoFilter ref="A1:O1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8.44140625" bestFit="1" customWidth="1"/>
    <col min="2" max="2" width="72.5546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68</v>
      </c>
      <c r="B2" t="s">
        <v>69</v>
      </c>
      <c r="C2" t="s">
        <v>70</v>
      </c>
      <c r="D2">
        <v>2</v>
      </c>
      <c r="E2">
        <v>5</v>
      </c>
      <c r="F2">
        <v>480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2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2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5546875" bestFit="1" customWidth="1"/>
    <col min="31" max="31" width="24.6640625" bestFit="1" customWidth="1"/>
    <col min="32" max="32" width="12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2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68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120.6</v>
      </c>
      <c r="O3" t="s">
        <v>68</v>
      </c>
      <c r="P3" t="s">
        <v>71</v>
      </c>
      <c r="Q3" t="s">
        <v>82</v>
      </c>
      <c r="R3" t="s">
        <v>73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68</v>
      </c>
      <c r="AB3" t="s">
        <v>89</v>
      </c>
      <c r="AC3" t="s">
        <v>90</v>
      </c>
      <c r="AD3" t="s">
        <v>91</v>
      </c>
      <c r="AE3" s="5">
        <v>3.8</v>
      </c>
      <c r="AF3" s="5">
        <v>2.2211560841582338</v>
      </c>
      <c r="AG3" s="5">
        <v>1.7888543819998315</v>
      </c>
      <c r="AH3" s="5">
        <v>1</v>
      </c>
      <c r="AI3" s="5">
        <v>5</v>
      </c>
      <c r="AK3" t="s">
        <v>68</v>
      </c>
      <c r="AL3" t="s">
        <v>101</v>
      </c>
      <c r="AM3" t="s">
        <v>96</v>
      </c>
      <c r="AN3" t="s">
        <v>102</v>
      </c>
      <c r="AO3" s="5">
        <v>113.2</v>
      </c>
      <c r="AP3" s="5">
        <v>8.6650000514715444</v>
      </c>
      <c r="AQ3" s="5">
        <v>6.9785385289471602</v>
      </c>
      <c r="AR3" s="5">
        <v>106</v>
      </c>
      <c r="AS3" s="5">
        <v>122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113.2</v>
      </c>
      <c r="P4" t="s">
        <v>74</v>
      </c>
      <c r="Q4" t="s">
        <v>83</v>
      </c>
      <c r="R4" t="s">
        <v>76</v>
      </c>
      <c r="S4" s="5">
        <v>7.6801209539612731</v>
      </c>
      <c r="T4" s="5">
        <v>0.73112869230482469</v>
      </c>
      <c r="U4" s="5">
        <v>0.58882974247662967</v>
      </c>
      <c r="V4" s="5">
        <v>7.0141439288164502</v>
      </c>
      <c r="W4" s="5">
        <v>8.4592854445662304</v>
      </c>
      <c r="X4" s="5">
        <v>0</v>
      </c>
      <c r="Y4" s="5">
        <v>19</v>
      </c>
      <c r="AB4" t="s">
        <v>92</v>
      </c>
      <c r="AC4" t="s">
        <v>90</v>
      </c>
      <c r="AD4" t="s">
        <v>91</v>
      </c>
      <c r="AE4" s="5">
        <v>109.4</v>
      </c>
      <c r="AF4" s="5">
        <v>9.956565966697223</v>
      </c>
      <c r="AG4" s="5">
        <v>8.0187280786917814</v>
      </c>
      <c r="AH4" s="5">
        <v>101</v>
      </c>
      <c r="AI4" s="5">
        <v>121</v>
      </c>
      <c r="AL4" t="s">
        <v>93</v>
      </c>
      <c r="AM4" t="s">
        <v>94</v>
      </c>
      <c r="AN4" t="s">
        <v>76</v>
      </c>
      <c r="AO4" s="5">
        <v>120.8</v>
      </c>
      <c r="AP4" s="5">
        <v>8.5305118055922549</v>
      </c>
      <c r="AQ4" s="5">
        <v>6.8702256149270671</v>
      </c>
      <c r="AR4" s="5">
        <v>111</v>
      </c>
      <c r="AS4" s="5">
        <v>127</v>
      </c>
    </row>
    <row r="5" spans="1:52" x14ac:dyDescent="0.3">
      <c r="C5" t="s">
        <v>77</v>
      </c>
      <c r="D5" t="s">
        <v>76</v>
      </c>
      <c r="E5" s="5">
        <v>21.418917589108482</v>
      </c>
      <c r="F5" s="5">
        <v>1</v>
      </c>
      <c r="G5" s="5">
        <v>0.92963845286825031</v>
      </c>
      <c r="H5" s="5">
        <v>0.74870371872994546</v>
      </c>
      <c r="I5" s="5">
        <v>20.8446454495597</v>
      </c>
      <c r="J5" s="5">
        <v>22.677063170257899</v>
      </c>
      <c r="K5" s="5">
        <v>0</v>
      </c>
      <c r="L5" s="5">
        <v>34.382922287829402</v>
      </c>
      <c r="M5" s="5">
        <v>113.2</v>
      </c>
      <c r="P5" t="s">
        <v>84</v>
      </c>
      <c r="Q5" t="s">
        <v>85</v>
      </c>
      <c r="R5" t="s">
        <v>86</v>
      </c>
      <c r="S5" s="5">
        <v>8.6853217976290573E-2</v>
      </c>
      <c r="T5" s="5">
        <v>4.9529072772286067E-3</v>
      </c>
      <c r="U5" s="5">
        <v>3.9889271851271052E-3</v>
      </c>
      <c r="V5" s="5">
        <v>8.1975844987714999E-2</v>
      </c>
      <c r="W5" s="5">
        <v>9.2207333756806995E-2</v>
      </c>
      <c r="X5" s="5">
        <v>0</v>
      </c>
      <c r="Y5" s="5">
        <v>0.5</v>
      </c>
      <c r="AL5" t="s">
        <v>95</v>
      </c>
      <c r="AM5" t="s">
        <v>96</v>
      </c>
      <c r="AN5" t="s">
        <v>76</v>
      </c>
      <c r="AO5" s="5">
        <v>113.2</v>
      </c>
      <c r="AP5" s="5">
        <v>8.6650000514715444</v>
      </c>
      <c r="AQ5" s="5">
        <v>6.9785385289471602</v>
      </c>
      <c r="AR5" s="5">
        <v>106</v>
      </c>
      <c r="AS5" s="5">
        <v>122</v>
      </c>
    </row>
    <row r="6" spans="1:52" x14ac:dyDescent="0.3">
      <c r="C6" t="s">
        <v>78</v>
      </c>
      <c r="D6" t="s">
        <v>76</v>
      </c>
      <c r="E6" s="5">
        <v>31.326099896859784</v>
      </c>
      <c r="F6" s="5">
        <v>1</v>
      </c>
      <c r="G6" s="5">
        <v>0.9684916817128868</v>
      </c>
      <c r="H6" s="5">
        <v>0.77999497699372944</v>
      </c>
      <c r="I6" s="5">
        <v>30.762642441351002</v>
      </c>
      <c r="J6" s="5">
        <v>32.671346265611703</v>
      </c>
      <c r="K6" s="5">
        <v>6.7070875372228604</v>
      </c>
      <c r="L6" s="5">
        <v>45.319532259570998</v>
      </c>
      <c r="M6" s="5">
        <v>113.2</v>
      </c>
      <c r="Q6" t="s">
        <v>87</v>
      </c>
      <c r="R6" t="s">
        <v>86</v>
      </c>
      <c r="S6" s="5">
        <v>0.86853217976290564</v>
      </c>
      <c r="T6" s="5">
        <v>4.9529072772286103E-2</v>
      </c>
      <c r="U6" s="5">
        <v>3.9889271851271078E-2</v>
      </c>
      <c r="V6" s="5">
        <v>0.81975844987714996</v>
      </c>
      <c r="W6" s="5">
        <v>0.92207333756806997</v>
      </c>
      <c r="X6" s="5">
        <v>0</v>
      </c>
      <c r="Y6" s="5">
        <v>5</v>
      </c>
      <c r="AL6" t="s">
        <v>97</v>
      </c>
      <c r="AM6" t="s">
        <v>98</v>
      </c>
      <c r="AN6" t="s">
        <v>86</v>
      </c>
      <c r="AO6" s="5">
        <v>120.6</v>
      </c>
      <c r="AP6" s="5">
        <v>8.2642976810184106</v>
      </c>
      <c r="AQ6" s="5">
        <v>6.6558245169174945</v>
      </c>
      <c r="AR6" s="5">
        <v>111</v>
      </c>
      <c r="AS6" s="5">
        <v>127</v>
      </c>
    </row>
    <row r="7" spans="1:52" x14ac:dyDescent="0.3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113.2</v>
      </c>
      <c r="Q7" t="s">
        <v>88</v>
      </c>
      <c r="R7" t="s">
        <v>86</v>
      </c>
      <c r="S7" s="5">
        <v>10</v>
      </c>
      <c r="T7" s="5">
        <v>0</v>
      </c>
      <c r="U7" s="5">
        <v>0</v>
      </c>
      <c r="V7" s="5">
        <v>10</v>
      </c>
      <c r="W7" s="5">
        <v>10</v>
      </c>
      <c r="X7" s="5">
        <v>10</v>
      </c>
      <c r="Y7" s="5">
        <v>10</v>
      </c>
      <c r="AL7" t="s">
        <v>99</v>
      </c>
      <c r="AM7" t="s">
        <v>100</v>
      </c>
      <c r="AN7" t="s">
        <v>86</v>
      </c>
      <c r="AO7" s="5">
        <v>8.6853217976290573E-2</v>
      </c>
      <c r="AP7" s="5">
        <v>4.9529072772286067E-3</v>
      </c>
      <c r="AQ7" s="5">
        <v>3.9889271851271052E-3</v>
      </c>
      <c r="AR7" s="5">
        <v>8.1975844987714999E-2</v>
      </c>
      <c r="AS7" s="5">
        <v>9.2207333756806995E-2</v>
      </c>
    </row>
    <row r="8" spans="1:52" x14ac:dyDescent="0.3">
      <c r="C8" t="s">
        <v>80</v>
      </c>
      <c r="D8" t="s">
        <v>76</v>
      </c>
      <c r="E8" s="5">
        <v>9.9071823077513006</v>
      </c>
      <c r="F8" s="5">
        <v>1</v>
      </c>
      <c r="G8" s="5">
        <v>0.10866141351312492</v>
      </c>
      <c r="H8" s="5">
        <v>8.7512735869219413E-2</v>
      </c>
      <c r="I8" s="5">
        <v>9.7845392322071394</v>
      </c>
      <c r="J8" s="5">
        <v>9.9942830953537705</v>
      </c>
      <c r="K8" s="5">
        <v>6.3576468373062802</v>
      </c>
      <c r="L8" s="5">
        <v>11.8785793980637</v>
      </c>
      <c r="M8" s="5">
        <v>113.2</v>
      </c>
    </row>
    <row r="9" spans="1:52" x14ac:dyDescent="0.3">
      <c r="C9" t="s">
        <v>81</v>
      </c>
      <c r="D9" t="s">
        <v>76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113.2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:AF4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6"/>
  <sheetViews>
    <sheetView workbookViewId="0">
      <selection activeCell="A2" sqref="A2:K61"/>
    </sheetView>
  </sheetViews>
  <sheetFormatPr defaultRowHeight="14.4" x14ac:dyDescent="0.3"/>
  <cols>
    <col min="1" max="1" width="18.44140625" bestFit="1" customWidth="1"/>
    <col min="2" max="2" width="21.21875" bestFit="1" customWidth="1"/>
    <col min="3" max="3" width="12.5546875" bestFit="1" customWidth="1"/>
    <col min="4" max="4" width="18.554687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52.664062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2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111</v>
      </c>
      <c r="L2" t="str">
        <f>DiscreteStatsTable[[#This Row],[ProjectName]]&amp;DiscreteStatsTable[[#This Row],[Name]]&amp;DiscreteStatsTable[[#This Row],[Type]]&amp;DiscreteStatsTable[[#This Row],[Source]]</f>
        <v>Robinhood CashDropAssign Courier.QueueWaiting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120.6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68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122</v>
      </c>
      <c r="L3" t="str">
        <f>DiscreteStatsTable[[#This Row],[ProjectName]]&amp;DiscreteStatsTable[[#This Row],[Name]]&amp;DiscreteStatsTable[[#This Row],[Type]]&amp;DiscreteStatsTable[[#This Row],[Source]]</f>
        <v>Robinhood CashDropAssign Courier.QueueWaiting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120.6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68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0</v>
      </c>
      <c r="H4">
        <v>2E+20</v>
      </c>
      <c r="I4">
        <v>0</v>
      </c>
      <c r="J4">
        <v>0</v>
      </c>
      <c r="K4">
        <v>117</v>
      </c>
      <c r="L4" t="str">
        <f>DiscreteStatsTable[[#This Row],[ProjectName]]&amp;DiscreteStatsTable[[#This Row],[Name]]&amp;DiscreteStatsTable[[#This Row],[Type]]&amp;DiscreteStatsTable[[#This Row],[Source]]</f>
        <v>Robinhood CashDropAssign Courier.QueueWaiting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120.6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68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127</v>
      </c>
      <c r="L5" t="str">
        <f>DiscreteStatsTable[[#This Row],[ProjectName]]&amp;DiscreteStatsTable[[#This Row],[Name]]&amp;DiscreteStatsTable[[#This Row],[Type]]&amp;DiscreteStatsTable[[#This Row],[Source]]</f>
        <v>Robinhood CashDropAssign Courier.QueueWaiting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120.6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68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126</v>
      </c>
      <c r="L6" t="str">
        <f>DiscreteStatsTable[[#This Row],[ProjectName]]&amp;DiscreteStatsTable[[#This Row],[Name]]&amp;DiscreteStatsTable[[#This Row],[Type]]&amp;DiscreteStatsTable[[#This Row],[Source]]</f>
        <v>Robinhood CashDropAssign Courier.QueueWaiting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120.6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68</v>
      </c>
      <c r="B7" t="s">
        <v>70</v>
      </c>
      <c r="C7">
        <v>1</v>
      </c>
      <c r="D7" t="s">
        <v>74</v>
      </c>
      <c r="E7" t="s">
        <v>75</v>
      </c>
      <c r="F7" t="s">
        <v>76</v>
      </c>
      <c r="G7">
        <v>0</v>
      </c>
      <c r="H7">
        <v>2E+20</v>
      </c>
      <c r="I7">
        <v>0</v>
      </c>
      <c r="J7">
        <v>0</v>
      </c>
      <c r="K7">
        <v>106</v>
      </c>
      <c r="L7" t="str">
        <f>DiscreteStatsTable[[#This Row],[ProjectName]]&amp;DiscreteStatsTable[[#This Row],[Name]]&amp;DiscreteStatsTable[[#This Row],[Type]]&amp;DiscreteStatsTable[[#This Row],[Source]]</f>
        <v>Robinhood CashDropCashOrderNVA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113.2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68</v>
      </c>
      <c r="B8" t="s">
        <v>70</v>
      </c>
      <c r="C8">
        <v>1</v>
      </c>
      <c r="D8" t="s">
        <v>74</v>
      </c>
      <c r="E8" t="s">
        <v>77</v>
      </c>
      <c r="F8" t="s">
        <v>76</v>
      </c>
      <c r="G8">
        <v>20.8446454495597</v>
      </c>
      <c r="H8">
        <v>2E+20</v>
      </c>
      <c r="I8">
        <v>0</v>
      </c>
      <c r="J8">
        <v>34.005160746902803</v>
      </c>
      <c r="K8">
        <v>106</v>
      </c>
      <c r="L8" t="str">
        <f>DiscreteStatsTable[[#This Row],[ProjectName]]&amp;DiscreteStatsTable[[#This Row],[Name]]&amp;DiscreteStatsTable[[#This Row],[Type]]&amp;DiscreteStatsTable[[#This Row],[Source]]</f>
        <v>Robinhood CashDropCashOrderOther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21.418917589108482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0.74870371872994546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0.92963845286825031</v>
      </c>
      <c r="R8" cm="1">
        <f t="array" ref="R8">MIN(IF((DiscreteStatsTable[GroupByKey]=DiscreteStatsTable[[#This Row],[GroupByKey]]),(DiscreteStatsTable[GroupByKey]=DiscreteStatsTable[[#This Row],[GroupByKey]])*DiscreteStatsTable[Average]))</f>
        <v>20.8446454495597</v>
      </c>
      <c r="S8" cm="1">
        <f t="array" ref="S8">MAX(IF((DiscreteStatsTable[GroupByKey]=DiscreteStatsTable[[#This Row],[GroupByKey]]),(DiscreteStatsTable[GroupByKey]=DiscreteStatsTable[[#This Row],[GroupByKey]])*DiscreteStatsTable[Average]))</f>
        <v>22.677063170257899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34.382922287829402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113.2</v>
      </c>
      <c r="W8">
        <f>IF((DiscreteStatsTable[[#This Row],[RepsRequested]]&gt;1),DiscreteStatsTable[[#This Row],[HalfWidth]],DiscreteStatsTable[[#This Row],[BatchMeansHalfWidth]])</f>
        <v>0.92963845286825031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68</v>
      </c>
      <c r="B9" t="s">
        <v>70</v>
      </c>
      <c r="C9">
        <v>1</v>
      </c>
      <c r="D9" t="s">
        <v>74</v>
      </c>
      <c r="E9" t="s">
        <v>78</v>
      </c>
      <c r="F9" t="s">
        <v>76</v>
      </c>
      <c r="G9">
        <v>30.826495039280601</v>
      </c>
      <c r="H9">
        <v>2E+20</v>
      </c>
      <c r="I9">
        <v>6.7070875372228604</v>
      </c>
      <c r="J9">
        <v>45.319532259570998</v>
      </c>
      <c r="K9">
        <v>106</v>
      </c>
      <c r="L9" t="str">
        <f>DiscreteStatsTable[[#This Row],[ProjectName]]&amp;DiscreteStatsTable[[#This Row],[Name]]&amp;DiscreteStatsTable[[#This Row],[Type]]&amp;DiscreteStatsTable[[#This Row],[Source]]</f>
        <v>Robinhood CashDropCashOrderTotal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31.326099896859784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0.77999497699372944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0.9684916817128868</v>
      </c>
      <c r="R9" cm="1">
        <f t="array" ref="R9">MIN(IF((DiscreteStatsTable[GroupByKey]=DiscreteStatsTable[[#This Row],[GroupByKey]]),(DiscreteStatsTable[GroupByKey]=DiscreteStatsTable[[#This Row],[GroupByKey]])*DiscreteStatsTable[Average]))</f>
        <v>30.762642441351002</v>
      </c>
      <c r="S9" cm="1">
        <f t="array" ref="S9">MAX(IF((DiscreteStatsTable[GroupByKey]=DiscreteStatsTable[[#This Row],[GroupByKey]]),(DiscreteStatsTable[GroupByKey]=DiscreteStatsTable[[#This Row],[GroupByKey]])*DiscreteStatsTable[Average]))</f>
        <v>32.671346265611703</v>
      </c>
      <c r="T9" cm="1">
        <f t="array" ref="T9">MIN(IF((DiscreteStatsTable[GroupByKey]=DiscreteStatsTable[[#This Row],[GroupByKey]]),(DiscreteStatsTable[GroupByKey]=DiscreteStatsTable[[#This Row],[GroupByKey]])*DiscreteStatsTable[Minimum]))</f>
        <v>6.7070875372228604</v>
      </c>
      <c r="U9" cm="1">
        <f t="array" ref="U9">MAX(IF((DiscreteStatsTable[GroupByKey]=DiscreteStatsTable[[#This Row],[GroupByKey]]),(DiscreteStatsTable[GroupByKey]=DiscreteStatsTable[[#This Row],[GroupByKey]])*DiscreteStatsTable[Maximum]))</f>
        <v>45.319532259570998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113.2</v>
      </c>
      <c r="W9">
        <f>IF((DiscreteStatsTable[[#This Row],[RepsRequested]]&gt;1),DiscreteStatsTable[[#This Row],[HalfWidth]],DiscreteStatsTable[[#This Row],[BatchMeansHalfWidth]])</f>
        <v>0.9684916817128868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68</v>
      </c>
      <c r="B10" t="s">
        <v>70</v>
      </c>
      <c r="C10">
        <v>1</v>
      </c>
      <c r="D10" t="s">
        <v>74</v>
      </c>
      <c r="E10" t="s">
        <v>79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106</v>
      </c>
      <c r="L10" t="str">
        <f>DiscreteStatsTable[[#This Row],[ProjectName]]&amp;DiscreteStatsTable[[#This Row],[Name]]&amp;DiscreteStatsTable[[#This Row],[Type]]&amp;DiscreteStatsTable[[#This Row],[Source]]</f>
        <v>Robinhood CashDropCashOrderTransfer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113.2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68</v>
      </c>
      <c r="B11" t="s">
        <v>70</v>
      </c>
      <c r="C11">
        <v>1</v>
      </c>
      <c r="D11" t="s">
        <v>74</v>
      </c>
      <c r="E11" t="s">
        <v>80</v>
      </c>
      <c r="F11" t="s">
        <v>76</v>
      </c>
      <c r="G11">
        <v>9.9818495897209303</v>
      </c>
      <c r="H11">
        <v>2E+20</v>
      </c>
      <c r="I11">
        <v>6.7070875372228604</v>
      </c>
      <c r="J11">
        <v>11.8107960732785</v>
      </c>
      <c r="K11">
        <v>106</v>
      </c>
      <c r="L11" t="str">
        <f>DiscreteStatsTable[[#This Row],[ProjectName]]&amp;DiscreteStatsTable[[#This Row],[Name]]&amp;DiscreteStatsTable[[#This Row],[Type]]&amp;DiscreteStatsTable[[#This Row],[Source]]</f>
        <v>Robinhood CashDropCashOrderVA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9.9071823077513006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8.7512735869219413E-2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0.10866141351312492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9.7845392322071394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9.9942830953537705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6.3576468373062802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11.8785793980637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113.2</v>
      </c>
      <c r="W11">
        <f>IF((DiscreteStatsTable[[#This Row],[RepsRequested]]&gt;1),DiscreteStatsTable[[#This Row],[HalfWidth]],DiscreteStatsTable[[#This Row],[BatchMeansHalfWidth]])</f>
        <v>0.10866141351312492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68</v>
      </c>
      <c r="B12" t="s">
        <v>70</v>
      </c>
      <c r="C12">
        <v>1</v>
      </c>
      <c r="D12" t="s">
        <v>74</v>
      </c>
      <c r="E12" t="s">
        <v>81</v>
      </c>
      <c r="F12" t="s">
        <v>76</v>
      </c>
      <c r="G12">
        <v>0</v>
      </c>
      <c r="H12">
        <v>2E+20</v>
      </c>
      <c r="I12">
        <v>0</v>
      </c>
      <c r="J12">
        <v>0</v>
      </c>
      <c r="K12">
        <v>106</v>
      </c>
      <c r="L12" t="str">
        <f>DiscreteStatsTable[[#This Row],[ProjectName]]&amp;DiscreteStatsTable[[#This Row],[Name]]&amp;DiscreteStatsTable[[#This Row],[Type]]&amp;DiscreteStatsTable[[#This Row],[Source]]</f>
        <v>Robinhood CashDropCashOrderWait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113.2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68</v>
      </c>
      <c r="B13" t="s">
        <v>70</v>
      </c>
      <c r="C13">
        <v>2</v>
      </c>
      <c r="D13" t="s">
        <v>74</v>
      </c>
      <c r="E13" t="s">
        <v>75</v>
      </c>
      <c r="F13" t="s">
        <v>76</v>
      </c>
      <c r="G13">
        <v>0</v>
      </c>
      <c r="H13">
        <v>2E+20</v>
      </c>
      <c r="I13">
        <v>0</v>
      </c>
      <c r="J13">
        <v>0</v>
      </c>
      <c r="K13">
        <v>111</v>
      </c>
      <c r="L13" t="str">
        <f>DiscreteStatsTable[[#This Row],[ProjectName]]&amp;DiscreteStatsTable[[#This Row],[Name]]&amp;DiscreteStatsTable[[#This Row],[Type]]&amp;DiscreteStatsTable[[#This Row],[Source]]</f>
        <v>Robinhood CashDropCashOrderNVA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113.2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68</v>
      </c>
      <c r="B14" t="s">
        <v>70</v>
      </c>
      <c r="C14">
        <v>2</v>
      </c>
      <c r="D14" t="s">
        <v>74</v>
      </c>
      <c r="E14" t="s">
        <v>77</v>
      </c>
      <c r="F14" t="s">
        <v>76</v>
      </c>
      <c r="G14">
        <v>20.903879683493201</v>
      </c>
      <c r="H14">
        <v>2E+20</v>
      </c>
      <c r="I14">
        <v>0</v>
      </c>
      <c r="J14">
        <v>33.877482382082597</v>
      </c>
      <c r="K14">
        <v>111</v>
      </c>
      <c r="L14" t="str">
        <f>DiscreteStatsTable[[#This Row],[ProjectName]]&amp;DiscreteStatsTable[[#This Row],[Name]]&amp;DiscreteStatsTable[[#This Row],[Type]]&amp;DiscreteStatsTable[[#This Row],[Source]]</f>
        <v>Robinhood CashDropCashOrderOther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21.418917589108482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0.74870371872994546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0.92963845286825031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20.8446454495597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22.677063170257899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34.382922287829402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113.2</v>
      </c>
      <c r="W14">
        <f>IF((DiscreteStatsTable[[#This Row],[RepsRequested]]&gt;1),DiscreteStatsTable[[#This Row],[HalfWidth]],DiscreteStatsTable[[#This Row],[BatchMeansHalfWidth]])</f>
        <v>0.92963845286825031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68</v>
      </c>
      <c r="B15" t="s">
        <v>70</v>
      </c>
      <c r="C15">
        <v>2</v>
      </c>
      <c r="D15" t="s">
        <v>74</v>
      </c>
      <c r="E15" t="s">
        <v>78</v>
      </c>
      <c r="F15" t="s">
        <v>76</v>
      </c>
      <c r="G15">
        <v>30.762642441351002</v>
      </c>
      <c r="H15">
        <v>2E+20</v>
      </c>
      <c r="I15">
        <v>7.8047083791308296</v>
      </c>
      <c r="J15">
        <v>44.662565630148897</v>
      </c>
      <c r="K15">
        <v>111</v>
      </c>
      <c r="L15" t="str">
        <f>DiscreteStatsTable[[#This Row],[ProjectName]]&amp;DiscreteStatsTable[[#This Row],[Name]]&amp;DiscreteStatsTable[[#This Row],[Type]]&amp;DiscreteStatsTable[[#This Row],[Source]]</f>
        <v>Robinhood CashDropCashOrderTotal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31.326099896859784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0.77999497699372944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0.9684916817128868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30.762642441351002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32.671346265611703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6.7070875372228604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45.319532259570998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113.2</v>
      </c>
      <c r="W15">
        <f>IF((DiscreteStatsTable[[#This Row],[RepsRequested]]&gt;1),DiscreteStatsTable[[#This Row],[HalfWidth]],DiscreteStatsTable[[#This Row],[BatchMeansHalfWidth]])</f>
        <v>0.9684916817128868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68</v>
      </c>
      <c r="B16" t="s">
        <v>70</v>
      </c>
      <c r="C16">
        <v>2</v>
      </c>
      <c r="D16" t="s">
        <v>74</v>
      </c>
      <c r="E16" t="s">
        <v>79</v>
      </c>
      <c r="F16" t="s">
        <v>76</v>
      </c>
      <c r="G16">
        <v>0</v>
      </c>
      <c r="H16">
        <v>2E+20</v>
      </c>
      <c r="I16">
        <v>0</v>
      </c>
      <c r="J16">
        <v>0</v>
      </c>
      <c r="K16">
        <v>111</v>
      </c>
      <c r="L16" t="str">
        <f>DiscreteStatsTable[[#This Row],[ProjectName]]&amp;DiscreteStatsTable[[#This Row],[Name]]&amp;DiscreteStatsTable[[#This Row],[Type]]&amp;DiscreteStatsTable[[#This Row],[Source]]</f>
        <v>Robinhood CashDropCashOrderTransfer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113.2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68</v>
      </c>
      <c r="B17" t="s">
        <v>70</v>
      </c>
      <c r="C17">
        <v>2</v>
      </c>
      <c r="D17" t="s">
        <v>74</v>
      </c>
      <c r="E17" t="s">
        <v>80</v>
      </c>
      <c r="F17" t="s">
        <v>76</v>
      </c>
      <c r="G17">
        <v>9.8587627578577806</v>
      </c>
      <c r="H17">
        <v>2E+20</v>
      </c>
      <c r="I17">
        <v>6.57117995418995</v>
      </c>
      <c r="J17">
        <v>11.8154058038303</v>
      </c>
      <c r="K17">
        <v>111</v>
      </c>
      <c r="L17" t="str">
        <f>DiscreteStatsTable[[#This Row],[ProjectName]]&amp;DiscreteStatsTable[[#This Row],[Name]]&amp;DiscreteStatsTable[[#This Row],[Type]]&amp;DiscreteStatsTable[[#This Row],[Source]]</f>
        <v>Robinhood CashDropCashOrderVA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9.9071823077513006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8.7512735869219413E-2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0.10866141351312492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9.7845392322071394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9.9942830953537705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6.3576468373062802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11.8785793980637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113.2</v>
      </c>
      <c r="W17">
        <f>IF((DiscreteStatsTable[[#This Row],[RepsRequested]]&gt;1),DiscreteStatsTable[[#This Row],[HalfWidth]],DiscreteStatsTable[[#This Row],[BatchMeansHalfWidth]])</f>
        <v>0.10866141351312492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68</v>
      </c>
      <c r="B18" t="s">
        <v>70</v>
      </c>
      <c r="C18">
        <v>2</v>
      </c>
      <c r="D18" t="s">
        <v>74</v>
      </c>
      <c r="E18" t="s">
        <v>81</v>
      </c>
      <c r="F18" t="s">
        <v>76</v>
      </c>
      <c r="G18">
        <v>0</v>
      </c>
      <c r="H18">
        <v>2E+20</v>
      </c>
      <c r="I18">
        <v>0</v>
      </c>
      <c r="J18">
        <v>0</v>
      </c>
      <c r="K18">
        <v>111</v>
      </c>
      <c r="L18" t="str">
        <f>DiscreteStatsTable[[#This Row],[ProjectName]]&amp;DiscreteStatsTable[[#This Row],[Name]]&amp;DiscreteStatsTable[[#This Row],[Type]]&amp;DiscreteStatsTable[[#This Row],[Source]]</f>
        <v>Robinhood CashDropCashOrderWait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113.2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68</v>
      </c>
      <c r="B19" t="s">
        <v>70</v>
      </c>
      <c r="C19">
        <v>3</v>
      </c>
      <c r="D19" t="s">
        <v>74</v>
      </c>
      <c r="E19" t="s">
        <v>75</v>
      </c>
      <c r="F19" t="s">
        <v>76</v>
      </c>
      <c r="G19">
        <v>0</v>
      </c>
      <c r="H19">
        <v>2E+20</v>
      </c>
      <c r="I19">
        <v>0</v>
      </c>
      <c r="J19">
        <v>0</v>
      </c>
      <c r="K19">
        <v>108</v>
      </c>
      <c r="L19" t="str">
        <f>DiscreteStatsTable[[#This Row],[ProjectName]]&amp;DiscreteStatsTable[[#This Row],[Name]]&amp;DiscreteStatsTable[[#This Row],[Type]]&amp;DiscreteStatsTable[[#This Row],[Source]]</f>
        <v>Robinhood CashDropCashOrderNVA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113.2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68</v>
      </c>
      <c r="B20" t="s">
        <v>70</v>
      </c>
      <c r="C20">
        <v>3</v>
      </c>
      <c r="D20" t="s">
        <v>74</v>
      </c>
      <c r="E20" t="s">
        <v>77</v>
      </c>
      <c r="F20" t="s">
        <v>76</v>
      </c>
      <c r="G20">
        <v>21.176396252518899</v>
      </c>
      <c r="H20">
        <v>2E+20</v>
      </c>
      <c r="I20">
        <v>0</v>
      </c>
      <c r="J20">
        <v>32.780129642560603</v>
      </c>
      <c r="K20">
        <v>108</v>
      </c>
      <c r="L20" t="str">
        <f>DiscreteStatsTable[[#This Row],[ProjectName]]&amp;DiscreteStatsTable[[#This Row],[Name]]&amp;DiscreteStatsTable[[#This Row],[Type]]&amp;DiscreteStatsTable[[#This Row],[Source]]</f>
        <v>Robinhood CashDropCashOrderOther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21.418917589108482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0.74870371872994546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0.92963845286825031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20.8446454495597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22.677063170257899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34.382922287829402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113.2</v>
      </c>
      <c r="W20">
        <f>IF((DiscreteStatsTable[[#This Row],[RepsRequested]]&gt;1),DiscreteStatsTable[[#This Row],[HalfWidth]],DiscreteStatsTable[[#This Row],[BatchMeansHalfWidth]])</f>
        <v>0.92963845286825031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68</v>
      </c>
      <c r="B21" t="s">
        <v>70</v>
      </c>
      <c r="C21">
        <v>3</v>
      </c>
      <c r="D21" t="s">
        <v>74</v>
      </c>
      <c r="E21" t="s">
        <v>78</v>
      </c>
      <c r="F21" t="s">
        <v>76</v>
      </c>
      <c r="G21">
        <v>31.092873116135799</v>
      </c>
      <c r="H21">
        <v>2E+20</v>
      </c>
      <c r="I21">
        <v>7.3972680566434397</v>
      </c>
      <c r="J21">
        <v>43.764590128834897</v>
      </c>
      <c r="K21">
        <v>108</v>
      </c>
      <c r="L21" t="str">
        <f>DiscreteStatsTable[[#This Row],[ProjectName]]&amp;DiscreteStatsTable[[#This Row],[Name]]&amp;DiscreteStatsTable[[#This Row],[Type]]&amp;DiscreteStatsTable[[#This Row],[Source]]</f>
        <v>Robinhood CashDropCashOrderTotal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31.326099896859784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0.77999497699372944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0.9684916817128868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30.762642441351002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32.671346265611703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6.7070875372228604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45.319532259570998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113.2</v>
      </c>
      <c r="W21">
        <f>IF((DiscreteStatsTable[[#This Row],[RepsRequested]]&gt;1),DiscreteStatsTable[[#This Row],[HalfWidth]],DiscreteStatsTable[[#This Row],[BatchMeansHalfWidth]])</f>
        <v>0.9684916817128868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68</v>
      </c>
      <c r="B22" t="s">
        <v>70</v>
      </c>
      <c r="C22">
        <v>3</v>
      </c>
      <c r="D22" t="s">
        <v>74</v>
      </c>
      <c r="E22" t="s">
        <v>79</v>
      </c>
      <c r="F22" t="s">
        <v>76</v>
      </c>
      <c r="G22">
        <v>0</v>
      </c>
      <c r="H22">
        <v>2E+20</v>
      </c>
      <c r="I22">
        <v>0</v>
      </c>
      <c r="J22">
        <v>0</v>
      </c>
      <c r="K22">
        <v>108</v>
      </c>
      <c r="L22" t="str">
        <f>DiscreteStatsTable[[#This Row],[ProjectName]]&amp;DiscreteStatsTable[[#This Row],[Name]]&amp;DiscreteStatsTable[[#This Row],[Type]]&amp;DiscreteStatsTable[[#This Row],[Source]]</f>
        <v>Robinhood CashDropCashOrderTransfer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113.2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68</v>
      </c>
      <c r="B23" t="s">
        <v>70</v>
      </c>
      <c r="C23">
        <v>3</v>
      </c>
      <c r="D23" t="s">
        <v>74</v>
      </c>
      <c r="E23" t="s">
        <v>80</v>
      </c>
      <c r="F23" t="s">
        <v>76</v>
      </c>
      <c r="G23">
        <v>9.9164768636168805</v>
      </c>
      <c r="H23">
        <v>2E+20</v>
      </c>
      <c r="I23">
        <v>7.0548200850508902</v>
      </c>
      <c r="J23">
        <v>11.8785793980637</v>
      </c>
      <c r="K23">
        <v>108</v>
      </c>
      <c r="L23" t="str">
        <f>DiscreteStatsTable[[#This Row],[ProjectName]]&amp;DiscreteStatsTable[[#This Row],[Name]]&amp;DiscreteStatsTable[[#This Row],[Type]]&amp;DiscreteStatsTable[[#This Row],[Source]]</f>
        <v>Robinhood CashDropCashOrderVA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9.9071823077513006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8.7512735869219413E-2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0.10866141351312492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9.7845392322071394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9.9942830953537705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6.3576468373062802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11.8785793980637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113.2</v>
      </c>
      <c r="W23">
        <f>IF((DiscreteStatsTable[[#This Row],[RepsRequested]]&gt;1),DiscreteStatsTable[[#This Row],[HalfWidth]],DiscreteStatsTable[[#This Row],[BatchMeansHalfWidth]])</f>
        <v>0.10866141351312492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68</v>
      </c>
      <c r="B24" t="s">
        <v>70</v>
      </c>
      <c r="C24">
        <v>3</v>
      </c>
      <c r="D24" t="s">
        <v>74</v>
      </c>
      <c r="E24" t="s">
        <v>81</v>
      </c>
      <c r="F24" t="s">
        <v>76</v>
      </c>
      <c r="G24">
        <v>0</v>
      </c>
      <c r="H24">
        <v>2E+20</v>
      </c>
      <c r="I24">
        <v>0</v>
      </c>
      <c r="J24">
        <v>0</v>
      </c>
      <c r="K24">
        <v>108</v>
      </c>
      <c r="L24" t="str">
        <f>DiscreteStatsTable[[#This Row],[ProjectName]]&amp;DiscreteStatsTable[[#This Row],[Name]]&amp;DiscreteStatsTable[[#This Row],[Type]]&amp;DiscreteStatsTable[[#This Row],[Source]]</f>
        <v>Robinhood CashDropCashOrderWait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113.2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68</v>
      </c>
      <c r="B25" t="s">
        <v>70</v>
      </c>
      <c r="C25">
        <v>4</v>
      </c>
      <c r="D25" t="s">
        <v>74</v>
      </c>
      <c r="E25" t="s">
        <v>75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122</v>
      </c>
      <c r="L25" t="str">
        <f>DiscreteStatsTable[[#This Row],[ProjectName]]&amp;DiscreteStatsTable[[#This Row],[Name]]&amp;DiscreteStatsTable[[#This Row],[Type]]&amp;DiscreteStatsTable[[#This Row],[Source]]</f>
        <v>Robinhood CashDropCashOrderNVA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113.2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68</v>
      </c>
      <c r="B26" t="s">
        <v>70</v>
      </c>
      <c r="C26">
        <v>4</v>
      </c>
      <c r="D26" t="s">
        <v>74</v>
      </c>
      <c r="E26" t="s">
        <v>77</v>
      </c>
      <c r="F26" t="s">
        <v>76</v>
      </c>
      <c r="G26">
        <v>22.677063170257899</v>
      </c>
      <c r="H26">
        <v>2E+20</v>
      </c>
      <c r="I26">
        <v>10.969467970207001</v>
      </c>
      <c r="J26">
        <v>34.382922287829402</v>
      </c>
      <c r="K26">
        <v>122</v>
      </c>
      <c r="L26" t="str">
        <f>DiscreteStatsTable[[#This Row],[ProjectName]]&amp;DiscreteStatsTable[[#This Row],[Name]]&amp;DiscreteStatsTable[[#This Row],[Type]]&amp;DiscreteStatsTable[[#This Row],[Source]]</f>
        <v>Robinhood CashDropCashOrderOther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21.418917589108482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0.74870371872994546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0.92963845286825031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20.8446454495597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22.677063170257899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34.382922287829402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113.2</v>
      </c>
      <c r="W26">
        <f>IF((DiscreteStatsTable[[#This Row],[RepsRequested]]&gt;1),DiscreteStatsTable[[#This Row],[HalfWidth]],DiscreteStatsTable[[#This Row],[BatchMeansHalfWidth]])</f>
        <v>0.92963845286825031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68</v>
      </c>
      <c r="B27" t="s">
        <v>70</v>
      </c>
      <c r="C27">
        <v>4</v>
      </c>
      <c r="D27" t="s">
        <v>74</v>
      </c>
      <c r="E27" t="s">
        <v>78</v>
      </c>
      <c r="F27" t="s">
        <v>76</v>
      </c>
      <c r="G27">
        <v>32.671346265611703</v>
      </c>
      <c r="H27">
        <v>2E+20</v>
      </c>
      <c r="I27">
        <v>20.814986927929699</v>
      </c>
      <c r="J27">
        <v>44.5524682342826</v>
      </c>
      <c r="K27">
        <v>122</v>
      </c>
      <c r="L27" t="str">
        <f>DiscreteStatsTable[[#This Row],[ProjectName]]&amp;DiscreteStatsTable[[#This Row],[Name]]&amp;DiscreteStatsTable[[#This Row],[Type]]&amp;DiscreteStatsTable[[#This Row],[Source]]</f>
        <v>Robinhood CashDropCashOrderTotal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31.326099896859784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0.77999497699372944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0.9684916817128868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30.762642441351002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32.671346265611703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6.7070875372228604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45.319532259570998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113.2</v>
      </c>
      <c r="W27">
        <f>IF((DiscreteStatsTable[[#This Row],[RepsRequested]]&gt;1),DiscreteStatsTable[[#This Row],[HalfWidth]],DiscreteStatsTable[[#This Row],[BatchMeansHalfWidth]])</f>
        <v>0.9684916817128868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68</v>
      </c>
      <c r="B28" t="s">
        <v>70</v>
      </c>
      <c r="C28">
        <v>4</v>
      </c>
      <c r="D28" t="s">
        <v>74</v>
      </c>
      <c r="E28" t="s">
        <v>79</v>
      </c>
      <c r="F28" t="s">
        <v>76</v>
      </c>
      <c r="G28">
        <v>0</v>
      </c>
      <c r="H28">
        <v>2E+20</v>
      </c>
      <c r="I28">
        <v>0</v>
      </c>
      <c r="J28">
        <v>0</v>
      </c>
      <c r="K28">
        <v>122</v>
      </c>
      <c r="L28" t="str">
        <f>DiscreteStatsTable[[#This Row],[ProjectName]]&amp;DiscreteStatsTable[[#This Row],[Name]]&amp;DiscreteStatsTable[[#This Row],[Type]]&amp;DiscreteStatsTable[[#This Row],[Source]]</f>
        <v>Robinhood CashDropCashOrderTransfer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113.2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68</v>
      </c>
      <c r="B29" t="s">
        <v>70</v>
      </c>
      <c r="C29">
        <v>4</v>
      </c>
      <c r="D29" t="s">
        <v>74</v>
      </c>
      <c r="E29" t="s">
        <v>80</v>
      </c>
      <c r="F29" t="s">
        <v>76</v>
      </c>
      <c r="G29">
        <v>9.9942830953537705</v>
      </c>
      <c r="H29">
        <v>2E+20</v>
      </c>
      <c r="I29">
        <v>8.1486132368585498</v>
      </c>
      <c r="J29">
        <v>11.768070225028</v>
      </c>
      <c r="K29">
        <v>122</v>
      </c>
      <c r="L29" t="str">
        <f>DiscreteStatsTable[[#This Row],[ProjectName]]&amp;DiscreteStatsTable[[#This Row],[Name]]&amp;DiscreteStatsTable[[#This Row],[Type]]&amp;DiscreteStatsTable[[#This Row],[Source]]</f>
        <v>Robinhood CashDropCashOrderVA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9.9071823077513006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8.7512735869219413E-2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0.10866141351312492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9.7845392322071394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9.9942830953537705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6.3576468373062802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11.8785793980637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113.2</v>
      </c>
      <c r="W29">
        <f>IF((DiscreteStatsTable[[#This Row],[RepsRequested]]&gt;1),DiscreteStatsTable[[#This Row],[HalfWidth]],DiscreteStatsTable[[#This Row],[BatchMeansHalfWidth]])</f>
        <v>0.10866141351312492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68</v>
      </c>
      <c r="B30" t="s">
        <v>70</v>
      </c>
      <c r="C30">
        <v>4</v>
      </c>
      <c r="D30" t="s">
        <v>74</v>
      </c>
      <c r="E30" t="s">
        <v>81</v>
      </c>
      <c r="F30" t="s">
        <v>76</v>
      </c>
      <c r="G30">
        <v>0</v>
      </c>
      <c r="H30">
        <v>2E+20</v>
      </c>
      <c r="I30">
        <v>0</v>
      </c>
      <c r="J30">
        <v>0</v>
      </c>
      <c r="K30">
        <v>122</v>
      </c>
      <c r="L30" t="str">
        <f>DiscreteStatsTable[[#This Row],[ProjectName]]&amp;DiscreteStatsTable[[#This Row],[Name]]&amp;DiscreteStatsTable[[#This Row],[Type]]&amp;DiscreteStatsTable[[#This Row],[Source]]</f>
        <v>Robinhood CashDropCashOrderWait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113.2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68</v>
      </c>
      <c r="B31" t="s">
        <v>70</v>
      </c>
      <c r="C31">
        <v>5</v>
      </c>
      <c r="D31" t="s">
        <v>74</v>
      </c>
      <c r="E31" t="s">
        <v>75</v>
      </c>
      <c r="F31" t="s">
        <v>76</v>
      </c>
      <c r="G31">
        <v>0</v>
      </c>
      <c r="H31">
        <v>2E+20</v>
      </c>
      <c r="I31">
        <v>0</v>
      </c>
      <c r="J31">
        <v>0</v>
      </c>
      <c r="K31">
        <v>119</v>
      </c>
      <c r="L31" t="str">
        <f>DiscreteStatsTable[[#This Row],[ProjectName]]&amp;DiscreteStatsTable[[#This Row],[Name]]&amp;DiscreteStatsTable[[#This Row],[Type]]&amp;DiscreteStatsTable[[#This Row],[Source]]</f>
        <v>Robinhood CashDropCashOrderNVA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113.2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68</v>
      </c>
      <c r="B32" t="s">
        <v>70</v>
      </c>
      <c r="C32">
        <v>5</v>
      </c>
      <c r="D32" t="s">
        <v>74</v>
      </c>
      <c r="E32" t="s">
        <v>77</v>
      </c>
      <c r="F32" t="s">
        <v>76</v>
      </c>
      <c r="G32">
        <v>21.492603389712698</v>
      </c>
      <c r="H32">
        <v>2E+20</v>
      </c>
      <c r="I32">
        <v>11.7627493355669</v>
      </c>
      <c r="J32">
        <v>32.939742677751902</v>
      </c>
      <c r="K32">
        <v>119</v>
      </c>
      <c r="L32" t="str">
        <f>DiscreteStatsTable[[#This Row],[ProjectName]]&amp;DiscreteStatsTable[[#This Row],[Name]]&amp;DiscreteStatsTable[[#This Row],[Type]]&amp;DiscreteStatsTable[[#This Row],[Source]]</f>
        <v>Robinhood CashDropCashOrderOther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21.418917589108482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0.74870371872994546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0.92963845286825031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20.8446454495597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22.677063170257899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34.382922287829402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113.2</v>
      </c>
      <c r="W32">
        <f>IF((DiscreteStatsTable[[#This Row],[RepsRequested]]&gt;1),DiscreteStatsTable[[#This Row],[HalfWidth]],DiscreteStatsTable[[#This Row],[BatchMeansHalfWidth]])</f>
        <v>0.92963845286825031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68</v>
      </c>
      <c r="B33" t="s">
        <v>70</v>
      </c>
      <c r="C33">
        <v>5</v>
      </c>
      <c r="D33" t="s">
        <v>74</v>
      </c>
      <c r="E33" t="s">
        <v>78</v>
      </c>
      <c r="F33" t="s">
        <v>76</v>
      </c>
      <c r="G33">
        <v>31.277142621919801</v>
      </c>
      <c r="H33">
        <v>2E+20</v>
      </c>
      <c r="I33">
        <v>19.961052381467098</v>
      </c>
      <c r="J33">
        <v>43.356455734160903</v>
      </c>
      <c r="K33">
        <v>119</v>
      </c>
      <c r="L33" t="str">
        <f>DiscreteStatsTable[[#This Row],[ProjectName]]&amp;DiscreteStatsTable[[#This Row],[Name]]&amp;DiscreteStatsTable[[#This Row],[Type]]&amp;DiscreteStatsTable[[#This Row],[Source]]</f>
        <v>Robinhood CashDropCashOrderTotal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31.326099896859784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0.77999497699372944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0.9684916817128868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30.762642441351002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32.671346265611703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6.7070875372228604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45.319532259570998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113.2</v>
      </c>
      <c r="W33">
        <f>IF((DiscreteStatsTable[[#This Row],[RepsRequested]]&gt;1),DiscreteStatsTable[[#This Row],[HalfWidth]],DiscreteStatsTable[[#This Row],[BatchMeansHalfWidth]])</f>
        <v>0.9684916817128868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68</v>
      </c>
      <c r="B34" t="s">
        <v>70</v>
      </c>
      <c r="C34">
        <v>5</v>
      </c>
      <c r="D34" t="s">
        <v>74</v>
      </c>
      <c r="E34" t="s">
        <v>79</v>
      </c>
      <c r="F34" t="s">
        <v>76</v>
      </c>
      <c r="G34">
        <v>0</v>
      </c>
      <c r="H34">
        <v>2E+20</v>
      </c>
      <c r="I34">
        <v>0</v>
      </c>
      <c r="J34">
        <v>0</v>
      </c>
      <c r="K34">
        <v>119</v>
      </c>
      <c r="L34" t="str">
        <f>DiscreteStatsTable[[#This Row],[ProjectName]]&amp;DiscreteStatsTable[[#This Row],[Name]]&amp;DiscreteStatsTable[[#This Row],[Type]]&amp;DiscreteStatsTable[[#This Row],[Source]]</f>
        <v>Robinhood CashDropCashOrderTransfer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113.2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68</v>
      </c>
      <c r="B35" t="s">
        <v>70</v>
      </c>
      <c r="C35">
        <v>5</v>
      </c>
      <c r="D35" t="s">
        <v>74</v>
      </c>
      <c r="E35" t="s">
        <v>80</v>
      </c>
      <c r="F35" t="s">
        <v>76</v>
      </c>
      <c r="G35">
        <v>9.7845392322071394</v>
      </c>
      <c r="H35">
        <v>2E+20</v>
      </c>
      <c r="I35">
        <v>6.3576468373062802</v>
      </c>
      <c r="J35">
        <v>11.7175797286849</v>
      </c>
      <c r="K35">
        <v>119</v>
      </c>
      <c r="L35" t="str">
        <f>DiscreteStatsTable[[#This Row],[ProjectName]]&amp;DiscreteStatsTable[[#This Row],[Name]]&amp;DiscreteStatsTable[[#This Row],[Type]]&amp;DiscreteStatsTable[[#This Row],[Source]]</f>
        <v>Robinhood CashDropCashOrderVA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9.9071823077513006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8.7512735869219413E-2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0.10866141351312492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9.7845392322071394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9.9942830953537705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6.3576468373062802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11.8785793980637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113.2</v>
      </c>
      <c r="W35">
        <f>IF((DiscreteStatsTable[[#This Row],[RepsRequested]]&gt;1),DiscreteStatsTable[[#This Row],[HalfWidth]],DiscreteStatsTable[[#This Row],[BatchMeansHalfWidth]])</f>
        <v>0.10866141351312492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68</v>
      </c>
      <c r="B36" t="s">
        <v>70</v>
      </c>
      <c r="C36">
        <v>5</v>
      </c>
      <c r="D36" t="s">
        <v>74</v>
      </c>
      <c r="E36" t="s">
        <v>81</v>
      </c>
      <c r="F36" t="s">
        <v>76</v>
      </c>
      <c r="G36">
        <v>0</v>
      </c>
      <c r="H36">
        <v>2E+20</v>
      </c>
      <c r="I36">
        <v>0</v>
      </c>
      <c r="J36">
        <v>0</v>
      </c>
      <c r="K36">
        <v>119</v>
      </c>
      <c r="L36" t="str">
        <f>DiscreteStatsTable[[#This Row],[ProjectName]]&amp;DiscreteStatsTable[[#This Row],[Name]]&amp;DiscreteStatsTable[[#This Row],[Type]]&amp;DiscreteStatsTable[[#This Row],[Source]]</f>
        <v>Robinhood CashDropCashOrderWait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113.2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4.4" x14ac:dyDescent="0.3"/>
  <cols>
    <col min="1" max="1" width="18.44140625" bestFit="1" customWidth="1"/>
    <col min="2" max="2" width="21.21875" bestFit="1" customWidth="1"/>
    <col min="3" max="3" width="12.5546875" bestFit="1" customWidth="1"/>
    <col min="4" max="4" width="18.554687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55.3320312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68</v>
      </c>
      <c r="B2" t="s">
        <v>70</v>
      </c>
      <c r="C2">
        <v>1</v>
      </c>
      <c r="D2" t="s">
        <v>71</v>
      </c>
      <c r="E2" t="s">
        <v>82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Robinhood CashDropAssign Courier.QueueNumber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">
      <c r="A3" t="s">
        <v>68</v>
      </c>
      <c r="B3" t="s">
        <v>70</v>
      </c>
      <c r="C3">
        <v>1</v>
      </c>
      <c r="D3" t="s">
        <v>74</v>
      </c>
      <c r="E3" t="s">
        <v>83</v>
      </c>
      <c r="F3" t="s">
        <v>76</v>
      </c>
      <c r="G3">
        <v>7.0141439288164502</v>
      </c>
      <c r="H3">
        <v>2E+20</v>
      </c>
      <c r="I3">
        <v>0</v>
      </c>
      <c r="J3">
        <v>13</v>
      </c>
      <c r="K3">
        <v>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Robinhood CashDropCashOrderWIPEntity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7.6801209539612731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0.58882974247662967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0.73112869230482469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7.0141439288164502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8.4592854445662304</v>
      </c>
      <c r="U3">
        <f>IF((ContinuousStatsTable[[#This Row],[RepsRequested]]&gt;1),ContinuousStatsTable[[#This Row],[HalfWidth]],ContinuousStatsTable[[#This Row],[BatchMeansHalfWidth]])</f>
        <v>0.73112869230482469</v>
      </c>
    </row>
    <row r="4" spans="1:21" x14ac:dyDescent="0.3">
      <c r="A4" t="s">
        <v>68</v>
      </c>
      <c r="B4" t="s">
        <v>70</v>
      </c>
      <c r="C4">
        <v>1</v>
      </c>
      <c r="D4" t="s">
        <v>84</v>
      </c>
      <c r="E4" t="s">
        <v>85</v>
      </c>
      <c r="F4" t="s">
        <v>86</v>
      </c>
      <c r="G4">
        <v>8.1975844987714999E-2</v>
      </c>
      <c r="H4">
        <v>2E+20</v>
      </c>
      <c r="I4">
        <v>0</v>
      </c>
      <c r="J4">
        <v>0.5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Robinhood CashDropCourierInstantaneous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8.6853217976290573E-2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3.9889271851271052E-3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4.9529072772286067E-3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8.1975844987714999E-2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9.2207333756806995E-2</v>
      </c>
      <c r="U4">
        <f>IF((ContinuousStatsTable[[#This Row],[RepsRequested]]&gt;1),ContinuousStatsTable[[#This Row],[HalfWidth]],ContinuousStatsTable[[#This Row],[BatchMeansHalfWidth]])</f>
        <v>4.9529072772286067E-3</v>
      </c>
    </row>
    <row r="5" spans="1:21" x14ac:dyDescent="0.3">
      <c r="A5" t="s">
        <v>68</v>
      </c>
      <c r="B5" t="s">
        <v>70</v>
      </c>
      <c r="C5">
        <v>1</v>
      </c>
      <c r="D5" t="s">
        <v>84</v>
      </c>
      <c r="E5" t="s">
        <v>87</v>
      </c>
      <c r="F5" t="s">
        <v>86</v>
      </c>
      <c r="G5">
        <v>0.81975844987714996</v>
      </c>
      <c r="H5">
        <v>2E+20</v>
      </c>
      <c r="I5">
        <v>0</v>
      </c>
      <c r="J5">
        <v>5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Robinhood CashDropCourierNumber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0.86853217976290564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3.9889271851271078E-2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4.9529072772286103E-2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0.81975844987714996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0.92207333756806997</v>
      </c>
      <c r="U5">
        <f>IF((ContinuousStatsTable[[#This Row],[RepsRequested]]&gt;1),ContinuousStatsTable[[#This Row],[HalfWidth]],ContinuousStatsTable[[#This Row],[BatchMeansHalfWidth]])</f>
        <v>4.9529072772286103E-2</v>
      </c>
    </row>
    <row r="6" spans="1:21" x14ac:dyDescent="0.3">
      <c r="A6" t="s">
        <v>68</v>
      </c>
      <c r="B6" t="s">
        <v>70</v>
      </c>
      <c r="C6">
        <v>1</v>
      </c>
      <c r="D6" t="s">
        <v>84</v>
      </c>
      <c r="E6" t="s">
        <v>88</v>
      </c>
      <c r="F6" t="s">
        <v>86</v>
      </c>
      <c r="G6">
        <v>10</v>
      </c>
      <c r="H6">
        <v>2E+20</v>
      </c>
      <c r="I6">
        <v>10</v>
      </c>
      <c r="J6">
        <v>10</v>
      </c>
      <c r="K6">
        <v>10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Robinhood CashDropCourierNumber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68</v>
      </c>
      <c r="B7" t="s">
        <v>70</v>
      </c>
      <c r="C7">
        <v>2</v>
      </c>
      <c r="D7" t="s">
        <v>71</v>
      </c>
      <c r="E7" t="s">
        <v>82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Robinhood CashDropAssign Courier.QueueNumber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">
      <c r="A8" t="s">
        <v>68</v>
      </c>
      <c r="B8" t="s">
        <v>70</v>
      </c>
      <c r="C8">
        <v>2</v>
      </c>
      <c r="D8" t="s">
        <v>74</v>
      </c>
      <c r="E8" t="s">
        <v>83</v>
      </c>
      <c r="F8" t="s">
        <v>76</v>
      </c>
      <c r="G8">
        <v>7.7019807209645803</v>
      </c>
      <c r="H8">
        <v>2E+20</v>
      </c>
      <c r="I8">
        <v>0</v>
      </c>
      <c r="J8">
        <v>19</v>
      </c>
      <c r="K8">
        <v>11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Robinhood CashDropCashOrderWIPEntity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7.6801209539612731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0.58882974247662967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0.73112869230482469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7.0141439288164502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8.4592854445662304</v>
      </c>
      <c r="U8">
        <f>IF((ContinuousStatsTable[[#This Row],[RepsRequested]]&gt;1),ContinuousStatsTable[[#This Row],[HalfWidth]],ContinuousStatsTable[[#This Row],[BatchMeansHalfWidth]])</f>
        <v>0.73112869230482469</v>
      </c>
    </row>
    <row r="9" spans="1:21" x14ac:dyDescent="0.3">
      <c r="A9" t="s">
        <v>68</v>
      </c>
      <c r="B9" t="s">
        <v>70</v>
      </c>
      <c r="C9">
        <v>2</v>
      </c>
      <c r="D9" t="s">
        <v>84</v>
      </c>
      <c r="E9" t="s">
        <v>85</v>
      </c>
      <c r="F9" t="s">
        <v>86</v>
      </c>
      <c r="G9">
        <v>8.7871857308807394E-2</v>
      </c>
      <c r="H9">
        <v>2E+20</v>
      </c>
      <c r="I9">
        <v>0</v>
      </c>
      <c r="J9">
        <v>0.4</v>
      </c>
      <c r="K9">
        <v>0.1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Robinhood CashDropCourierInstantaneous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8.6853217976290573E-2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3.9889271851271052E-3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4.9529072772286067E-3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8.1975844987714999E-2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9.2207333756806995E-2</v>
      </c>
      <c r="U9">
        <f>IF((ContinuousStatsTable[[#This Row],[RepsRequested]]&gt;1),ContinuousStatsTable[[#This Row],[HalfWidth]],ContinuousStatsTable[[#This Row],[BatchMeansHalfWidth]])</f>
        <v>4.9529072772286067E-3</v>
      </c>
    </row>
    <row r="10" spans="1:21" x14ac:dyDescent="0.3">
      <c r="A10" t="s">
        <v>68</v>
      </c>
      <c r="B10" t="s">
        <v>70</v>
      </c>
      <c r="C10">
        <v>2</v>
      </c>
      <c r="D10" t="s">
        <v>84</v>
      </c>
      <c r="E10" t="s">
        <v>87</v>
      </c>
      <c r="F10" t="s">
        <v>86</v>
      </c>
      <c r="G10">
        <v>0.878718573088074</v>
      </c>
      <c r="H10">
        <v>2E+20</v>
      </c>
      <c r="I10">
        <v>0</v>
      </c>
      <c r="J10">
        <v>4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Robinhood CashDropCourierNumber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0.86853217976290564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3.9889271851271078E-2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4.9529072772286103E-2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0.81975844987714996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0.92207333756806997</v>
      </c>
      <c r="U10">
        <f>IF((ContinuousStatsTable[[#This Row],[RepsRequested]]&gt;1),ContinuousStatsTable[[#This Row],[HalfWidth]],ContinuousStatsTable[[#This Row],[BatchMeansHalfWidth]])</f>
        <v>4.9529072772286103E-2</v>
      </c>
    </row>
    <row r="11" spans="1:21" x14ac:dyDescent="0.3">
      <c r="A11" t="s">
        <v>68</v>
      </c>
      <c r="B11" t="s">
        <v>70</v>
      </c>
      <c r="C11">
        <v>2</v>
      </c>
      <c r="D11" t="s">
        <v>84</v>
      </c>
      <c r="E11" t="s">
        <v>88</v>
      </c>
      <c r="F11" t="s">
        <v>86</v>
      </c>
      <c r="G11">
        <v>10</v>
      </c>
      <c r="H11">
        <v>2E+20</v>
      </c>
      <c r="I11">
        <v>10</v>
      </c>
      <c r="J11">
        <v>10</v>
      </c>
      <c r="K11">
        <v>10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Robinhood CashDropCourierNumber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68</v>
      </c>
      <c r="B12" t="s">
        <v>70</v>
      </c>
      <c r="C12">
        <v>3</v>
      </c>
      <c r="D12" t="s">
        <v>71</v>
      </c>
      <c r="E12" t="s">
        <v>82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Robinhood CashDropAssign Courier.QueueNumber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3">
      <c r="A13" t="s">
        <v>68</v>
      </c>
      <c r="B13" t="s">
        <v>70</v>
      </c>
      <c r="C13">
        <v>3</v>
      </c>
      <c r="D13" t="s">
        <v>74</v>
      </c>
      <c r="E13" t="s">
        <v>83</v>
      </c>
      <c r="F13" t="s">
        <v>76</v>
      </c>
      <c r="G13">
        <v>7.2084547674969102</v>
      </c>
      <c r="H13">
        <v>2E+20</v>
      </c>
      <c r="I13">
        <v>0</v>
      </c>
      <c r="J13">
        <v>16</v>
      </c>
      <c r="K13">
        <v>9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Robinhood CashDropCashOrderWIPEntity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7.6801209539612731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0.58882974247662967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0.73112869230482469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7.0141439288164502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8.4592854445662304</v>
      </c>
      <c r="U13" s="5">
        <f>IF((ContinuousStatsTable[[#This Row],[RepsRequested]]&gt;1),ContinuousStatsTable[[#This Row],[HalfWidth]],ContinuousStatsTable[[#This Row],[BatchMeansHalfWidth]])</f>
        <v>0.73112869230482469</v>
      </c>
    </row>
    <row r="14" spans="1:21" x14ac:dyDescent="0.3">
      <c r="A14" t="s">
        <v>68</v>
      </c>
      <c r="B14" t="s">
        <v>70</v>
      </c>
      <c r="C14">
        <v>3</v>
      </c>
      <c r="D14" t="s">
        <v>84</v>
      </c>
      <c r="E14" t="s">
        <v>85</v>
      </c>
      <c r="F14" t="s">
        <v>86</v>
      </c>
      <c r="G14">
        <v>8.3980070803799906E-2</v>
      </c>
      <c r="H14">
        <v>2E+20</v>
      </c>
      <c r="I14">
        <v>0</v>
      </c>
      <c r="J14">
        <v>0.4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Robinhood CashDropCourierInstantaneous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8.6853217976290573E-2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3.9889271851271052E-3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4.9529072772286067E-3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8.1975844987714999E-2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9.2207333756806995E-2</v>
      </c>
      <c r="U14" s="5">
        <f>IF((ContinuousStatsTable[[#This Row],[RepsRequested]]&gt;1),ContinuousStatsTable[[#This Row],[HalfWidth]],ContinuousStatsTable[[#This Row],[BatchMeansHalfWidth]])</f>
        <v>4.9529072772286067E-3</v>
      </c>
    </row>
    <row r="15" spans="1:21" x14ac:dyDescent="0.3">
      <c r="A15" t="s">
        <v>68</v>
      </c>
      <c r="B15" t="s">
        <v>70</v>
      </c>
      <c r="C15">
        <v>3</v>
      </c>
      <c r="D15" t="s">
        <v>84</v>
      </c>
      <c r="E15" t="s">
        <v>87</v>
      </c>
      <c r="F15" t="s">
        <v>86</v>
      </c>
      <c r="G15">
        <v>0.839800708037999</v>
      </c>
      <c r="H15">
        <v>2E+20</v>
      </c>
      <c r="I15">
        <v>0</v>
      </c>
      <c r="J15">
        <v>4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Robinhood CashDropCourierNumber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0.86853217976290564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3.9889271851271078E-2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4.9529072772286103E-2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0.81975844987714996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0.92207333756806997</v>
      </c>
      <c r="U15" s="5">
        <f>IF((ContinuousStatsTable[[#This Row],[RepsRequested]]&gt;1),ContinuousStatsTable[[#This Row],[HalfWidth]],ContinuousStatsTable[[#This Row],[BatchMeansHalfWidth]])</f>
        <v>4.9529072772286103E-2</v>
      </c>
    </row>
    <row r="16" spans="1:21" x14ac:dyDescent="0.3">
      <c r="A16" t="s">
        <v>68</v>
      </c>
      <c r="B16" t="s">
        <v>70</v>
      </c>
      <c r="C16">
        <v>3</v>
      </c>
      <c r="D16" t="s">
        <v>84</v>
      </c>
      <c r="E16" t="s">
        <v>88</v>
      </c>
      <c r="F16" t="s">
        <v>86</v>
      </c>
      <c r="G16">
        <v>10</v>
      </c>
      <c r="H16">
        <v>2E+20</v>
      </c>
      <c r="I16">
        <v>10</v>
      </c>
      <c r="J16">
        <v>10</v>
      </c>
      <c r="K16">
        <v>10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Robinhood CashDropCourierNumber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10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10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10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">
      <c r="A17" t="s">
        <v>68</v>
      </c>
      <c r="B17" t="s">
        <v>70</v>
      </c>
      <c r="C17">
        <v>4</v>
      </c>
      <c r="D17" t="s">
        <v>71</v>
      </c>
      <c r="E17" t="s">
        <v>82</v>
      </c>
      <c r="F17" t="s">
        <v>73</v>
      </c>
      <c r="G17">
        <v>0</v>
      </c>
      <c r="H17">
        <v>2E+20</v>
      </c>
      <c r="I17">
        <v>0</v>
      </c>
      <c r="J17">
        <v>0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Robinhood CashDropAssign Courier.QueueNumber WaitingQueue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</v>
      </c>
      <c r="U17" s="5">
        <f>IF((ContinuousStatsTable[[#This Row],[RepsRequested]]&gt;1),ContinuousStatsTable[[#This Row],[HalfWidth]],ContinuousStatsTable[[#This Row],[BatchMeansHalfWidth]])</f>
        <v>0</v>
      </c>
    </row>
    <row r="18" spans="1:21" x14ac:dyDescent="0.3">
      <c r="A18" t="s">
        <v>68</v>
      </c>
      <c r="B18" t="s">
        <v>70</v>
      </c>
      <c r="C18">
        <v>4</v>
      </c>
      <c r="D18" t="s">
        <v>74</v>
      </c>
      <c r="E18" t="s">
        <v>83</v>
      </c>
      <c r="F18" t="s">
        <v>76</v>
      </c>
      <c r="G18">
        <v>8.4592854445662304</v>
      </c>
      <c r="H18">
        <v>2E+20</v>
      </c>
      <c r="I18">
        <v>0</v>
      </c>
      <c r="J18">
        <v>16</v>
      </c>
      <c r="K18">
        <v>5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Robinhood CashDropCashOrderWIPEntity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7.6801209539612731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0.58882974247662967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0.73112869230482469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7.0141439288164502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8.4592854445662304</v>
      </c>
      <c r="U18" s="5">
        <f>IF((ContinuousStatsTable[[#This Row],[RepsRequested]]&gt;1),ContinuousStatsTable[[#This Row],[HalfWidth]],ContinuousStatsTable[[#This Row],[BatchMeansHalfWidth]])</f>
        <v>0.73112869230482469</v>
      </c>
    </row>
    <row r="19" spans="1:21" x14ac:dyDescent="0.3">
      <c r="A19" t="s">
        <v>68</v>
      </c>
      <c r="B19" t="s">
        <v>70</v>
      </c>
      <c r="C19">
        <v>4</v>
      </c>
      <c r="D19" t="s">
        <v>84</v>
      </c>
      <c r="E19" t="s">
        <v>85</v>
      </c>
      <c r="F19" t="s">
        <v>86</v>
      </c>
      <c r="G19">
        <v>9.2207333756806995E-2</v>
      </c>
      <c r="H19">
        <v>2E+20</v>
      </c>
      <c r="I19">
        <v>0</v>
      </c>
      <c r="J19">
        <v>0.5</v>
      </c>
      <c r="K19">
        <v>0.1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Robinhood CashDropCourierInstantaneous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8.6853217976290573E-2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3.9889271851271052E-3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4.9529072772286067E-3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8.1975844987714999E-2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9.2207333756806995E-2</v>
      </c>
      <c r="U19" s="5">
        <f>IF((ContinuousStatsTable[[#This Row],[RepsRequested]]&gt;1),ContinuousStatsTable[[#This Row],[HalfWidth]],ContinuousStatsTable[[#This Row],[BatchMeansHalfWidth]])</f>
        <v>4.9529072772286067E-3</v>
      </c>
    </row>
    <row r="20" spans="1:21" x14ac:dyDescent="0.3">
      <c r="A20" t="s">
        <v>68</v>
      </c>
      <c r="B20" t="s">
        <v>70</v>
      </c>
      <c r="C20">
        <v>4</v>
      </c>
      <c r="D20" t="s">
        <v>84</v>
      </c>
      <c r="E20" t="s">
        <v>87</v>
      </c>
      <c r="F20" t="s">
        <v>86</v>
      </c>
      <c r="G20">
        <v>0.92207333756806997</v>
      </c>
      <c r="H20">
        <v>2E+20</v>
      </c>
      <c r="I20">
        <v>0</v>
      </c>
      <c r="J20">
        <v>5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Robinhood CashDropCourierNumber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0.86853217976290564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3.9889271851271078E-2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4.9529072772286103E-2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0.81975844987714996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0.92207333756806997</v>
      </c>
      <c r="U20" s="5">
        <f>IF((ContinuousStatsTable[[#This Row],[RepsRequested]]&gt;1),ContinuousStatsTable[[#This Row],[HalfWidth]],ContinuousStatsTable[[#This Row],[BatchMeansHalfWidth]])</f>
        <v>4.9529072772286103E-2</v>
      </c>
    </row>
    <row r="21" spans="1:21" x14ac:dyDescent="0.3">
      <c r="A21" t="s">
        <v>68</v>
      </c>
      <c r="B21" t="s">
        <v>70</v>
      </c>
      <c r="C21">
        <v>4</v>
      </c>
      <c r="D21" t="s">
        <v>84</v>
      </c>
      <c r="E21" t="s">
        <v>88</v>
      </c>
      <c r="F21" t="s">
        <v>86</v>
      </c>
      <c r="G21">
        <v>10</v>
      </c>
      <c r="H21">
        <v>2E+20</v>
      </c>
      <c r="I21">
        <v>10</v>
      </c>
      <c r="J21">
        <v>10</v>
      </c>
      <c r="K21">
        <v>10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Robinhood CashDropCourierNumber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10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10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10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68</v>
      </c>
      <c r="B22" t="s">
        <v>70</v>
      </c>
      <c r="C22">
        <v>5</v>
      </c>
      <c r="D22" t="s">
        <v>71</v>
      </c>
      <c r="E22" t="s">
        <v>82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Robinhood CashDropAssign Courier.QueueNumber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3">
      <c r="A23" t="s">
        <v>68</v>
      </c>
      <c r="B23" t="s">
        <v>70</v>
      </c>
      <c r="C23">
        <v>5</v>
      </c>
      <c r="D23" t="s">
        <v>74</v>
      </c>
      <c r="E23" t="s">
        <v>83</v>
      </c>
      <c r="F23" t="s">
        <v>76</v>
      </c>
      <c r="G23">
        <v>8.0167399079621902</v>
      </c>
      <c r="H23">
        <v>2E+20</v>
      </c>
      <c r="I23">
        <v>0</v>
      </c>
      <c r="J23">
        <v>15</v>
      </c>
      <c r="K23">
        <v>8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Robinhood CashDropCashOrderWIPEntity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7.6801209539612731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0.58882974247662967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0.73112869230482469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7.0141439288164502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8.4592854445662304</v>
      </c>
      <c r="U23" s="5">
        <f>IF((ContinuousStatsTable[[#This Row],[RepsRequested]]&gt;1),ContinuousStatsTable[[#This Row],[HalfWidth]],ContinuousStatsTable[[#This Row],[BatchMeansHalfWidth]])</f>
        <v>0.73112869230482469</v>
      </c>
    </row>
    <row r="24" spans="1:21" x14ac:dyDescent="0.3">
      <c r="A24" t="s">
        <v>68</v>
      </c>
      <c r="B24" t="s">
        <v>70</v>
      </c>
      <c r="C24">
        <v>5</v>
      </c>
      <c r="D24" t="s">
        <v>84</v>
      </c>
      <c r="E24" t="s">
        <v>85</v>
      </c>
      <c r="F24" t="s">
        <v>86</v>
      </c>
      <c r="G24">
        <v>8.82309830243235E-2</v>
      </c>
      <c r="H24">
        <v>2E+20</v>
      </c>
      <c r="I24">
        <v>0</v>
      </c>
      <c r="J24">
        <v>0.4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Robinhood CashDropCourierInstantaneous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8.6853217976290573E-2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3.9889271851271052E-3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4.9529072772286067E-3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8.1975844987714999E-2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9.2207333756806995E-2</v>
      </c>
      <c r="U24" s="5">
        <f>IF((ContinuousStatsTable[[#This Row],[RepsRequested]]&gt;1),ContinuousStatsTable[[#This Row],[HalfWidth]],ContinuousStatsTable[[#This Row],[BatchMeansHalfWidth]])</f>
        <v>4.9529072772286067E-3</v>
      </c>
    </row>
    <row r="25" spans="1:21" x14ac:dyDescent="0.3">
      <c r="A25" t="s">
        <v>68</v>
      </c>
      <c r="B25" t="s">
        <v>70</v>
      </c>
      <c r="C25">
        <v>5</v>
      </c>
      <c r="D25" t="s">
        <v>84</v>
      </c>
      <c r="E25" t="s">
        <v>87</v>
      </c>
      <c r="F25" t="s">
        <v>86</v>
      </c>
      <c r="G25">
        <v>0.88230983024323495</v>
      </c>
      <c r="H25">
        <v>2E+20</v>
      </c>
      <c r="I25">
        <v>0</v>
      </c>
      <c r="J25">
        <v>4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Robinhood CashDropCourierNumber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0.86853217976290564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3.9889271851271078E-2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4.9529072772286103E-2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0.81975844987714996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0.92207333756806997</v>
      </c>
      <c r="U25" s="5">
        <f>IF((ContinuousStatsTable[[#This Row],[RepsRequested]]&gt;1),ContinuousStatsTable[[#This Row],[HalfWidth]],ContinuousStatsTable[[#This Row],[BatchMeansHalfWidth]])</f>
        <v>4.9529072772286103E-2</v>
      </c>
    </row>
    <row r="26" spans="1:21" x14ac:dyDescent="0.3">
      <c r="A26" t="s">
        <v>68</v>
      </c>
      <c r="B26" t="s">
        <v>70</v>
      </c>
      <c r="C26">
        <v>5</v>
      </c>
      <c r="D26" t="s">
        <v>84</v>
      </c>
      <c r="E26" t="s">
        <v>88</v>
      </c>
      <c r="F26" t="s">
        <v>86</v>
      </c>
      <c r="G26">
        <v>10</v>
      </c>
      <c r="H26">
        <v>2E+20</v>
      </c>
      <c r="I26">
        <v>10</v>
      </c>
      <c r="J26">
        <v>10</v>
      </c>
      <c r="K26">
        <v>10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Robinhood CashDropCourierNumber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10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10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10</v>
      </c>
      <c r="U26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1"/>
  <sheetViews>
    <sheetView workbookViewId="0">
      <selection activeCell="G2" sqref="G2"/>
    </sheetView>
  </sheetViews>
  <sheetFormatPr defaultRowHeight="14.4" x14ac:dyDescent="0.3"/>
  <cols>
    <col min="1" max="1" width="18.44140625" bestFit="1" customWidth="1"/>
    <col min="2" max="2" width="21.21875" bestFit="1" customWidth="1"/>
    <col min="3" max="3" width="12.5546875" bestFit="1" customWidth="1"/>
    <col min="4" max="4" width="13.77734375" bestFit="1" customWidth="1"/>
    <col min="5" max="5" width="7.33203125" bestFit="1" customWidth="1"/>
    <col min="6" max="6" width="12.5546875" bestFit="1" customWidth="1"/>
    <col min="7" max="7" width="16.109375" bestFit="1" customWidth="1"/>
    <col min="8" max="8" width="48.332031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2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68</v>
      </c>
      <c r="B2" t="s">
        <v>70</v>
      </c>
      <c r="C2">
        <v>1</v>
      </c>
      <c r="D2" t="s">
        <v>89</v>
      </c>
      <c r="E2" t="s">
        <v>90</v>
      </c>
      <c r="F2" t="s">
        <v>91</v>
      </c>
      <c r="G2">
        <v>5</v>
      </c>
      <c r="H2" t="str">
        <f>CountersTable[[#This Row],[ProjectName]]&amp;CountersTable[[#This Row],[Name]]&amp;CountersTable[[#This Row],[Type]]&amp;CountersTable[[#This Row],[Source]]</f>
        <v>Robinhood CashDropFailedDeliveriesCountUser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5</v>
      </c>
      <c r="J2" cm="1">
        <f t="array" ref="J2">IFERROR(AVERAGE(IF((CountersTable[GroupByKey]=CountersTable[[#This Row],[GroupByKey]]),(CountersTable[GroupByKey]=CountersTable[[#This Row],[GroupByKey]])*CountersTable[RecordedValue])),0)</f>
        <v>3.8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1.7888543819998315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2.2211560841582338</v>
      </c>
      <c r="N2" cm="1">
        <f t="array" ref="N2">MIN(IF((CountersTable[GroupByKey]=CountersTable[[#This Row],[GroupByKey]]),(CountersTable[GroupByKey]=CountersTable[[#This Row],[GroupByKey]])*CountersTable[RecordedValue]))</f>
        <v>1</v>
      </c>
      <c r="O2" cm="1">
        <f t="array" ref="O2">MAX(IF((CountersTable[GroupByKey]=CountersTable[[#This Row],[GroupByKey]]),(CountersTable[GroupByKey]=CountersTable[[#This Row],[GroupByKey]])*CountersTable[RecordedValue]))</f>
        <v>5</v>
      </c>
    </row>
    <row r="3" spans="1:15" x14ac:dyDescent="0.3">
      <c r="A3" t="s">
        <v>68</v>
      </c>
      <c r="B3" t="s">
        <v>70</v>
      </c>
      <c r="C3">
        <v>1</v>
      </c>
      <c r="D3" t="s">
        <v>92</v>
      </c>
      <c r="E3" t="s">
        <v>90</v>
      </c>
      <c r="F3" t="s">
        <v>91</v>
      </c>
      <c r="G3">
        <v>101</v>
      </c>
      <c r="H3" t="str">
        <f>CountersTable[[#This Row],[ProjectName]]&amp;CountersTable[[#This Row],[Name]]&amp;CountersTable[[#This Row],[Type]]&amp;CountersTable[[#This Row],[Source]]</f>
        <v>Robinhood CashDropSuccessCountCountUser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5</v>
      </c>
      <c r="J3" cm="1">
        <f t="array" ref="J3">IFERROR(AVERAGE(IF((CountersTable[GroupByKey]=CountersTable[[#This Row],[GroupByKey]]),(CountersTable[GroupByKey]=CountersTable[[#This Row],[GroupByKey]])*CountersTable[RecordedValue])),0)</f>
        <v>109.4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8.0187280786917814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9.956565966697223</v>
      </c>
      <c r="N3" cm="1">
        <f t="array" ref="N3">MIN(IF((CountersTable[GroupByKey]=CountersTable[[#This Row],[GroupByKey]]),(CountersTable[GroupByKey]=CountersTable[[#This Row],[GroupByKey]])*CountersTable[RecordedValue]))</f>
        <v>101</v>
      </c>
      <c r="O3" cm="1">
        <f t="array" ref="O3">MAX(IF((CountersTable[GroupByKey]=CountersTable[[#This Row],[GroupByKey]]),(CountersTable[GroupByKey]=CountersTable[[#This Row],[GroupByKey]])*CountersTable[RecordedValue]))</f>
        <v>121</v>
      </c>
    </row>
    <row r="4" spans="1:15" x14ac:dyDescent="0.3">
      <c r="A4" t="s">
        <v>68</v>
      </c>
      <c r="B4" t="s">
        <v>70</v>
      </c>
      <c r="C4">
        <v>2</v>
      </c>
      <c r="D4" t="s">
        <v>89</v>
      </c>
      <c r="E4" t="s">
        <v>90</v>
      </c>
      <c r="F4" t="s">
        <v>91</v>
      </c>
      <c r="G4">
        <v>5</v>
      </c>
      <c r="H4" t="str">
        <f>CountersTable[[#This Row],[ProjectName]]&amp;CountersTable[[#This Row],[Name]]&amp;CountersTable[[#This Row],[Type]]&amp;CountersTable[[#This Row],[Source]]</f>
        <v>Robinhood CashDropFailedDeliveriesCountUser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5</v>
      </c>
      <c r="J4" cm="1">
        <f t="array" ref="J4">IFERROR(AVERAGE(IF((CountersTable[GroupByKey]=CountersTable[[#This Row],[GroupByKey]]),(CountersTable[GroupByKey]=CountersTable[[#This Row],[GroupByKey]])*CountersTable[RecordedValue])),0)</f>
        <v>3.8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1.7888543819998315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2.2211560841582338</v>
      </c>
      <c r="N4" cm="1">
        <f t="array" ref="N4">MIN(IF((CountersTable[GroupByKey]=CountersTable[[#This Row],[GroupByKey]]),(CountersTable[GroupByKey]=CountersTable[[#This Row],[GroupByKey]])*CountersTable[RecordedValue]))</f>
        <v>1</v>
      </c>
      <c r="O4" cm="1">
        <f t="array" ref="O4">MAX(IF((CountersTable[GroupByKey]=CountersTable[[#This Row],[GroupByKey]]),(CountersTable[GroupByKey]=CountersTable[[#This Row],[GroupByKey]])*CountersTable[RecordedValue]))</f>
        <v>5</v>
      </c>
    </row>
    <row r="5" spans="1:15" x14ac:dyDescent="0.3">
      <c r="A5" t="s">
        <v>68</v>
      </c>
      <c r="B5" t="s">
        <v>70</v>
      </c>
      <c r="C5">
        <v>2</v>
      </c>
      <c r="D5" t="s">
        <v>92</v>
      </c>
      <c r="E5" t="s">
        <v>90</v>
      </c>
      <c r="F5" t="s">
        <v>91</v>
      </c>
      <c r="G5">
        <v>106</v>
      </c>
      <c r="H5" t="str">
        <f>CountersTable[[#This Row],[ProjectName]]&amp;CountersTable[[#This Row],[Name]]&amp;CountersTable[[#This Row],[Type]]&amp;CountersTable[[#This Row],[Source]]</f>
        <v>Robinhood CashDropSuccessCountCountUser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5</v>
      </c>
      <c r="J5" cm="1">
        <f t="array" ref="J5">IFERROR(AVERAGE(IF((CountersTable[GroupByKey]=CountersTable[[#This Row],[GroupByKey]]),(CountersTable[GroupByKey]=CountersTable[[#This Row],[GroupByKey]])*CountersTable[RecordedValue])),0)</f>
        <v>109.4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8.0187280786917814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9.956565966697223</v>
      </c>
      <c r="N5" cm="1">
        <f t="array" ref="N5">MIN(IF((CountersTable[GroupByKey]=CountersTable[[#This Row],[GroupByKey]]),(CountersTable[GroupByKey]=CountersTable[[#This Row],[GroupByKey]])*CountersTable[RecordedValue]))</f>
        <v>101</v>
      </c>
      <c r="O5" cm="1">
        <f t="array" ref="O5">MAX(IF((CountersTable[GroupByKey]=CountersTable[[#This Row],[GroupByKey]]),(CountersTable[GroupByKey]=CountersTable[[#This Row],[GroupByKey]])*CountersTable[RecordedValue]))</f>
        <v>121</v>
      </c>
    </row>
    <row r="6" spans="1:15" x14ac:dyDescent="0.3">
      <c r="A6" t="s">
        <v>68</v>
      </c>
      <c r="B6" t="s">
        <v>70</v>
      </c>
      <c r="C6">
        <v>3</v>
      </c>
      <c r="D6" t="s">
        <v>89</v>
      </c>
      <c r="E6" t="s">
        <v>90</v>
      </c>
      <c r="F6" t="s">
        <v>91</v>
      </c>
      <c r="G6">
        <v>3</v>
      </c>
      <c r="H6" t="str">
        <f>CountersTable[[#This Row],[ProjectName]]&amp;CountersTable[[#This Row],[Name]]&amp;CountersTable[[#This Row],[Type]]&amp;CountersTable[[#This Row],[Source]]</f>
        <v>Robinhood CashDropFailedDeliveriesCountUser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5</v>
      </c>
      <c r="J6" cm="1">
        <f t="array" ref="J6">IFERROR(AVERAGE(IF((CountersTable[GroupByKey]=CountersTable[[#This Row],[GroupByKey]]),(CountersTable[GroupByKey]=CountersTable[[#This Row],[GroupByKey]])*CountersTable[RecordedValue])),0)</f>
        <v>3.8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1.7888543819998315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2.2211560841582338</v>
      </c>
      <c r="N6" cm="1">
        <f t="array" ref="N6">MIN(IF((CountersTable[GroupByKey]=CountersTable[[#This Row],[GroupByKey]]),(CountersTable[GroupByKey]=CountersTable[[#This Row],[GroupByKey]])*CountersTable[RecordedValue]))</f>
        <v>1</v>
      </c>
      <c r="O6" cm="1">
        <f t="array" ref="O6">MAX(IF((CountersTable[GroupByKey]=CountersTable[[#This Row],[GroupByKey]]),(CountersTable[GroupByKey]=CountersTable[[#This Row],[GroupByKey]])*CountersTable[RecordedValue]))</f>
        <v>5</v>
      </c>
    </row>
    <row r="7" spans="1:15" x14ac:dyDescent="0.3">
      <c r="A7" t="s">
        <v>68</v>
      </c>
      <c r="B7" t="s">
        <v>70</v>
      </c>
      <c r="C7">
        <v>3</v>
      </c>
      <c r="D7" t="s">
        <v>92</v>
      </c>
      <c r="E7" t="s">
        <v>90</v>
      </c>
      <c r="F7" t="s">
        <v>91</v>
      </c>
      <c r="G7">
        <v>105</v>
      </c>
      <c r="H7" t="str">
        <f>CountersTable[[#This Row],[ProjectName]]&amp;CountersTable[[#This Row],[Name]]&amp;CountersTable[[#This Row],[Type]]&amp;CountersTable[[#This Row],[Source]]</f>
        <v>Robinhood CashDropSuccessCountCountUser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5</v>
      </c>
      <c r="J7" cm="1">
        <f t="array" ref="J7">IFERROR(AVERAGE(IF((CountersTable[GroupByKey]=CountersTable[[#This Row],[GroupByKey]]),(CountersTable[GroupByKey]=CountersTable[[#This Row],[GroupByKey]])*CountersTable[RecordedValue])),0)</f>
        <v>109.4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8.0187280786917814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9.956565966697223</v>
      </c>
      <c r="N7" cm="1">
        <f t="array" ref="N7">MIN(IF((CountersTable[GroupByKey]=CountersTable[[#This Row],[GroupByKey]]),(CountersTable[GroupByKey]=CountersTable[[#This Row],[GroupByKey]])*CountersTable[RecordedValue]))</f>
        <v>101</v>
      </c>
      <c r="O7" cm="1">
        <f t="array" ref="O7">MAX(IF((CountersTable[GroupByKey]=CountersTable[[#This Row],[GroupByKey]]),(CountersTable[GroupByKey]=CountersTable[[#This Row],[GroupByKey]])*CountersTable[RecordedValue]))</f>
        <v>121</v>
      </c>
    </row>
    <row r="8" spans="1:15" x14ac:dyDescent="0.3">
      <c r="A8" t="s">
        <v>68</v>
      </c>
      <c r="B8" t="s">
        <v>70</v>
      </c>
      <c r="C8">
        <v>4</v>
      </c>
      <c r="D8" t="s">
        <v>89</v>
      </c>
      <c r="E8" t="s">
        <v>90</v>
      </c>
      <c r="F8" t="s">
        <v>91</v>
      </c>
      <c r="G8">
        <v>1</v>
      </c>
      <c r="H8" t="str">
        <f>CountersTable[[#This Row],[ProjectName]]&amp;CountersTable[[#This Row],[Name]]&amp;CountersTable[[#This Row],[Type]]&amp;CountersTable[[#This Row],[Source]]</f>
        <v>Robinhood CashDropFailedDeliveriesCountUser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5</v>
      </c>
      <c r="J8" cm="1">
        <f t="array" ref="J8">IFERROR(AVERAGE(IF((CountersTable[GroupByKey]=CountersTable[[#This Row],[GroupByKey]]),(CountersTable[GroupByKey]=CountersTable[[#This Row],[GroupByKey]])*CountersTable[RecordedValue])),0)</f>
        <v>3.8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1.7888543819998315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2.2211560841582338</v>
      </c>
      <c r="N8" cm="1">
        <f t="array" ref="N8">MIN(IF((CountersTable[GroupByKey]=CountersTable[[#This Row],[GroupByKey]]),(CountersTable[GroupByKey]=CountersTable[[#This Row],[GroupByKey]])*CountersTable[RecordedValue]))</f>
        <v>1</v>
      </c>
      <c r="O8" cm="1">
        <f t="array" ref="O8">MAX(IF((CountersTable[GroupByKey]=CountersTable[[#This Row],[GroupByKey]]),(CountersTable[GroupByKey]=CountersTable[[#This Row],[GroupByKey]])*CountersTable[RecordedValue]))</f>
        <v>5</v>
      </c>
    </row>
    <row r="9" spans="1:15" x14ac:dyDescent="0.3">
      <c r="A9" t="s">
        <v>68</v>
      </c>
      <c r="B9" t="s">
        <v>70</v>
      </c>
      <c r="C9">
        <v>4</v>
      </c>
      <c r="D9" t="s">
        <v>92</v>
      </c>
      <c r="E9" t="s">
        <v>90</v>
      </c>
      <c r="F9" t="s">
        <v>91</v>
      </c>
      <c r="G9">
        <v>121</v>
      </c>
      <c r="H9" t="str">
        <f>CountersTable[[#This Row],[ProjectName]]&amp;CountersTable[[#This Row],[Name]]&amp;CountersTable[[#This Row],[Type]]&amp;CountersTable[[#This Row],[Source]]</f>
        <v>Robinhood CashDropSuccessCountCountUser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5</v>
      </c>
      <c r="J9" cm="1">
        <f t="array" ref="J9">IFERROR(AVERAGE(IF((CountersTable[GroupByKey]=CountersTable[[#This Row],[GroupByKey]]),(CountersTable[GroupByKey]=CountersTable[[#This Row],[GroupByKey]])*CountersTable[RecordedValue])),0)</f>
        <v>109.4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8.0187280786917814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9.956565966697223</v>
      </c>
      <c r="N9" cm="1">
        <f t="array" ref="N9">MIN(IF((CountersTable[GroupByKey]=CountersTable[[#This Row],[GroupByKey]]),(CountersTable[GroupByKey]=CountersTable[[#This Row],[GroupByKey]])*CountersTable[RecordedValue]))</f>
        <v>101</v>
      </c>
      <c r="O9" cm="1">
        <f t="array" ref="O9">MAX(IF((CountersTable[GroupByKey]=CountersTable[[#This Row],[GroupByKey]]),(CountersTable[GroupByKey]=CountersTable[[#This Row],[GroupByKey]])*CountersTable[RecordedValue]))</f>
        <v>121</v>
      </c>
    </row>
    <row r="10" spans="1:15" x14ac:dyDescent="0.3">
      <c r="A10" t="s">
        <v>68</v>
      </c>
      <c r="B10" t="s">
        <v>70</v>
      </c>
      <c r="C10">
        <v>5</v>
      </c>
      <c r="D10" t="s">
        <v>89</v>
      </c>
      <c r="E10" t="s">
        <v>90</v>
      </c>
      <c r="F10" t="s">
        <v>91</v>
      </c>
      <c r="G10">
        <v>5</v>
      </c>
      <c r="H10" t="str">
        <f>CountersTable[[#This Row],[ProjectName]]&amp;CountersTable[[#This Row],[Name]]&amp;CountersTable[[#This Row],[Type]]&amp;CountersTable[[#This Row],[Source]]</f>
        <v>Robinhood CashDropFailedDeliveriesCountUser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5</v>
      </c>
      <c r="J10" cm="1">
        <f t="array" ref="J10">IFERROR(AVERAGE(IF((CountersTable[GroupByKey]=CountersTable[[#This Row],[GroupByKey]]),(CountersTable[GroupByKey]=CountersTable[[#This Row],[GroupByKey]])*CountersTable[RecordedValue])),0)</f>
        <v>3.8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1.7888543819998315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2.2211560841582338</v>
      </c>
      <c r="N10" cm="1">
        <f t="array" ref="N10">MIN(IF((CountersTable[GroupByKey]=CountersTable[[#This Row],[GroupByKey]]),(CountersTable[GroupByKey]=CountersTable[[#This Row],[GroupByKey]])*CountersTable[RecordedValue]))</f>
        <v>1</v>
      </c>
      <c r="O10" cm="1">
        <f t="array" ref="O10">MAX(IF((CountersTable[GroupByKey]=CountersTable[[#This Row],[GroupByKey]]),(CountersTable[GroupByKey]=CountersTable[[#This Row],[GroupByKey]])*CountersTable[RecordedValue]))</f>
        <v>5</v>
      </c>
    </row>
    <row r="11" spans="1:15" x14ac:dyDescent="0.3">
      <c r="A11" t="s">
        <v>68</v>
      </c>
      <c r="B11" t="s">
        <v>70</v>
      </c>
      <c r="C11">
        <v>5</v>
      </c>
      <c r="D11" t="s">
        <v>92</v>
      </c>
      <c r="E11" t="s">
        <v>90</v>
      </c>
      <c r="F11" t="s">
        <v>91</v>
      </c>
      <c r="G11">
        <v>114</v>
      </c>
      <c r="H11" t="str">
        <f>CountersTable[[#This Row],[ProjectName]]&amp;CountersTable[[#This Row],[Name]]&amp;CountersTable[[#This Row],[Type]]&amp;CountersTable[[#This Row],[Source]]</f>
        <v>Robinhood CashDropSuccessCountCountUser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5</v>
      </c>
      <c r="J11" cm="1">
        <f t="array" ref="J11">IFERROR(AVERAGE(IF((CountersTable[GroupByKey]=CountersTable[[#This Row],[GroupByKey]]),(CountersTable[GroupByKey]=CountersTable[[#This Row],[GroupByKey]])*CountersTable[RecordedValue])),0)</f>
        <v>109.4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8.0187280786917814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9.956565966697223</v>
      </c>
      <c r="N11" cm="1">
        <f t="array" ref="N11">MIN(IF((CountersTable[GroupByKey]=CountersTable[[#This Row],[GroupByKey]]),(CountersTable[GroupByKey]=CountersTable[[#This Row],[GroupByKey]])*CountersTable[RecordedValue]))</f>
        <v>101</v>
      </c>
      <c r="O11" cm="1">
        <f t="array" ref="O11">MAX(IF((CountersTable[GroupByKey]=CountersTable[[#This Row],[GroupByKey]]),(CountersTable[GroupByKey]=CountersTable[[#This Row],[GroupByKey]])*CountersTable[RecordedValue]))</f>
        <v>121</v>
      </c>
    </row>
  </sheetData>
  <phoneticPr fontId="2" type="noConversion"/>
  <conditionalFormatting sqref="H2:O11">
    <cfRule type="expression" dxfId="5" priority="2">
      <formula>MOD(ROW(),2)=0</formula>
    </cfRule>
  </conditionalFormatting>
  <conditionalFormatting sqref="M2:M1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6"/>
  <sheetViews>
    <sheetView workbookViewId="0">
      <selection activeCell="A2" sqref="A2:H31"/>
    </sheetView>
  </sheetViews>
  <sheetFormatPr defaultRowHeight="14.4" x14ac:dyDescent="0.3"/>
  <cols>
    <col min="1" max="1" width="18.44140625" bestFit="1" customWidth="1"/>
    <col min="2" max="2" width="21.21875" bestFit="1" customWidth="1"/>
    <col min="3" max="3" width="12.5546875" bestFit="1" customWidth="1"/>
    <col min="4" max="4" width="24.4414062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7.44140625" bestFit="1" customWidth="1"/>
    <col min="10" max="10" width="16.21875" bestFit="1" customWidth="1"/>
    <col min="11" max="11" width="12" bestFit="1" customWidth="1"/>
    <col min="12" max="12" width="19" bestFit="1" customWidth="1"/>
    <col min="13" max="13" width="19.441406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68</v>
      </c>
      <c r="B2" t="s">
        <v>70</v>
      </c>
      <c r="C2">
        <v>1</v>
      </c>
      <c r="D2" t="s">
        <v>93</v>
      </c>
      <c r="E2" t="s">
        <v>94</v>
      </c>
      <c r="F2" t="s">
        <v>76</v>
      </c>
      <c r="G2">
        <v>111</v>
      </c>
      <c r="H2">
        <v>0</v>
      </c>
      <c r="I2" t="str">
        <f>OutputTable[[#This Row],[ProjectName]]&amp;OutputTable[[#This Row],[Name]]&amp;OutputTable[[#This Row],[Type]]&amp;OutputTable[[#This Row],[Source]]</f>
        <v>Robinhood CashDropCashOrder.NumberInNumber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120.8</v>
      </c>
      <c r="L2" cm="1">
        <f t="array" ref="L2">IFERROR(_xlfn.STDEV.S(IF((OutputTable[GroupByKey]=OutputTable[[#This Row],[GroupByKey]]),(OutputTable[GroupByKey]=OutputTable[[#This Row],[GroupByKey]])*OutputTable[RecordedValue])),0)</f>
        <v>6.8702256149270671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8.5305118055922549</v>
      </c>
      <c r="O2" cm="1">
        <f t="array" ref="O2">MIN(IF((OutputTable[GroupByKey]=OutputTable[[#This Row],[GroupByKey]]),(OutputTable[GroupByKey]=OutputTable[[#This Row],[GroupByKey]])*OutputTable[RecordedValue]))</f>
        <v>111</v>
      </c>
      <c r="P2" cm="1">
        <f t="array" ref="P2">MAX(IF((OutputTable[GroupByKey]=OutputTable[[#This Row],[GroupByKey]]),(OutputTable[GroupByKey]=OutputTable[[#This Row],[GroupByKey]])*OutputTable[RecordedValue]))</f>
        <v>127</v>
      </c>
    </row>
    <row r="3" spans="1:16" x14ac:dyDescent="0.3">
      <c r="A3" t="s">
        <v>68</v>
      </c>
      <c r="B3" t="s">
        <v>70</v>
      </c>
      <c r="C3">
        <v>1</v>
      </c>
      <c r="D3" t="s">
        <v>95</v>
      </c>
      <c r="E3" t="s">
        <v>96</v>
      </c>
      <c r="F3" t="s">
        <v>76</v>
      </c>
      <c r="G3">
        <v>106</v>
      </c>
      <c r="H3">
        <v>0</v>
      </c>
      <c r="I3" t="str">
        <f>OutputTable[[#This Row],[ProjectName]]&amp;OutputTable[[#This Row],[Name]]&amp;OutputTable[[#This Row],[Type]]&amp;OutputTable[[#This Row],[Source]]</f>
        <v>Robinhood CashDropCashOrder.NumberOutNumber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113.2</v>
      </c>
      <c r="L3" cm="1">
        <f t="array" ref="L3">IFERROR(_xlfn.STDEV.S(IF((OutputTable[GroupByKey]=OutputTable[[#This Row],[GroupByKey]]),(OutputTable[GroupByKey]=OutputTable[[#This Row],[GroupByKey]])*OutputTable[RecordedValue])),0)</f>
        <v>6.9785385289471602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3" cm="1">
        <f t="array" ref="O3">MIN(IF((OutputTable[GroupByKey]=OutputTable[[#This Row],[GroupByKey]]),(OutputTable[GroupByKey]=OutputTable[[#This Row],[GroupByKey]])*OutputTable[RecordedValue]))</f>
        <v>106</v>
      </c>
      <c r="P3" cm="1">
        <f t="array" ref="P3">MAX(IF((OutputTable[GroupByKey]=OutputTable[[#This Row],[GroupByKey]]),(OutputTable[GroupByKey]=OutputTable[[#This Row],[GroupByKey]])*OutputTable[RecordedValue]))</f>
        <v>122</v>
      </c>
    </row>
    <row r="4" spans="1:16" x14ac:dyDescent="0.3">
      <c r="A4" t="s">
        <v>68</v>
      </c>
      <c r="B4" t="s">
        <v>70</v>
      </c>
      <c r="C4">
        <v>1</v>
      </c>
      <c r="D4" t="s">
        <v>97</v>
      </c>
      <c r="E4" t="s">
        <v>98</v>
      </c>
      <c r="F4" t="s">
        <v>86</v>
      </c>
      <c r="G4">
        <v>111</v>
      </c>
      <c r="H4">
        <v>0</v>
      </c>
      <c r="I4" t="str">
        <f>OutputTable[[#This Row],[ProjectName]]&amp;OutputTable[[#This Row],[Name]]&amp;OutputTable[[#This Row],[Type]]&amp;OutputTable[[#This Row],[Source]]</f>
        <v>Robinhood CashDropCourier.NumberSeizedTotal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120.6</v>
      </c>
      <c r="L4" cm="1">
        <f t="array" ref="L4">IFERROR(_xlfn.STDEV.S(IF((OutputTable[GroupByKey]=OutputTable[[#This Row],[GroupByKey]]),(OutputTable[GroupByKey]=OutputTable[[#This Row],[GroupByKey]])*OutputTable[RecordedValue])),0)</f>
        <v>6.6558245169174945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8.2642976810184106</v>
      </c>
      <c r="O4" cm="1">
        <f t="array" ref="O4">MIN(IF((OutputTable[GroupByKey]=OutputTable[[#This Row],[GroupByKey]]),(OutputTable[GroupByKey]=OutputTable[[#This Row],[GroupByKey]])*OutputTable[RecordedValue]))</f>
        <v>111</v>
      </c>
      <c r="P4" cm="1">
        <f t="array" ref="P4">MAX(IF((OutputTable[GroupByKey]=OutputTable[[#This Row],[GroupByKey]]),(OutputTable[GroupByKey]=OutputTable[[#This Row],[GroupByKey]])*OutputTable[RecordedValue]))</f>
        <v>127</v>
      </c>
    </row>
    <row r="5" spans="1:16" x14ac:dyDescent="0.3">
      <c r="A5" t="s">
        <v>68</v>
      </c>
      <c r="B5" t="s">
        <v>70</v>
      </c>
      <c r="C5">
        <v>1</v>
      </c>
      <c r="D5" t="s">
        <v>99</v>
      </c>
      <c r="E5" t="s">
        <v>100</v>
      </c>
      <c r="F5" t="s">
        <v>86</v>
      </c>
      <c r="G5">
        <v>8.1975844987714999E-2</v>
      </c>
      <c r="H5">
        <v>0</v>
      </c>
      <c r="I5" t="str">
        <f>OutputTable[[#This Row],[ProjectName]]&amp;OutputTable[[#This Row],[Name]]&amp;OutputTable[[#This Row],[Type]]&amp;OutputTable[[#This Row],[Source]]</f>
        <v>Robinhood CashDropCourier.ScheduledUtilizationScheduled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8.6853217976290573E-2</v>
      </c>
      <c r="L5" cm="1">
        <f t="array" ref="L5">IFERROR(_xlfn.STDEV.S(IF((OutputTable[GroupByKey]=OutputTable[[#This Row],[GroupByKey]]),(OutputTable[GroupByKey]=OutputTable[[#This Row],[GroupByKey]])*OutputTable[RecordedValue])),0)</f>
        <v>3.9889271851271052E-3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4.9529072772286067E-3</v>
      </c>
      <c r="O5" cm="1">
        <f t="array" ref="O5">MIN(IF((OutputTable[GroupByKey]=OutputTable[[#This Row],[GroupByKey]]),(OutputTable[GroupByKey]=OutputTable[[#This Row],[GroupByKey]])*OutputTable[RecordedValue]))</f>
        <v>8.1975844987714999E-2</v>
      </c>
      <c r="P5" cm="1">
        <f t="array" ref="P5">MAX(IF((OutputTable[GroupByKey]=OutputTable[[#This Row],[GroupByKey]]),(OutputTable[GroupByKey]=OutputTable[[#This Row],[GroupByKey]])*OutputTable[RecordedValue]))</f>
        <v>9.2207333756806995E-2</v>
      </c>
    </row>
    <row r="6" spans="1:16" x14ac:dyDescent="0.3">
      <c r="A6" t="s">
        <v>68</v>
      </c>
      <c r="B6" t="s">
        <v>70</v>
      </c>
      <c r="C6">
        <v>1</v>
      </c>
      <c r="D6" t="s">
        <v>101</v>
      </c>
      <c r="E6" t="s">
        <v>96</v>
      </c>
      <c r="F6" t="s">
        <v>102</v>
      </c>
      <c r="G6">
        <v>106</v>
      </c>
      <c r="H6">
        <v>0</v>
      </c>
      <c r="I6" t="str">
        <f>OutputTable[[#This Row],[ProjectName]]&amp;OutputTable[[#This Row],[Name]]&amp;OutputTable[[#This Row],[Type]]&amp;OutputTable[[#This Row],[Source]]</f>
        <v>Robinhood CashDropSystem.NumberOutNumber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113.2</v>
      </c>
      <c r="L6" cm="1">
        <f t="array" ref="L6">IFERROR(_xlfn.STDEV.S(IF((OutputTable[GroupByKey]=OutputTable[[#This Row],[GroupByKey]]),(OutputTable[GroupByKey]=OutputTable[[#This Row],[GroupByKey]])*OutputTable[RecordedValue])),0)</f>
        <v>6.9785385289471602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6" cm="1">
        <f t="array" ref="O6">MIN(IF((OutputTable[GroupByKey]=OutputTable[[#This Row],[GroupByKey]]),(OutputTable[GroupByKey]=OutputTable[[#This Row],[GroupByKey]])*OutputTable[RecordedValue]))</f>
        <v>106</v>
      </c>
      <c r="P6" cm="1">
        <f t="array" ref="P6">MAX(IF((OutputTable[GroupByKey]=OutputTable[[#This Row],[GroupByKey]]),(OutputTable[GroupByKey]=OutputTable[[#This Row],[GroupByKey]])*OutputTable[RecordedValue]))</f>
        <v>122</v>
      </c>
    </row>
    <row r="7" spans="1:16" x14ac:dyDescent="0.3">
      <c r="A7" t="s">
        <v>68</v>
      </c>
      <c r="B7" t="s">
        <v>70</v>
      </c>
      <c r="C7">
        <v>2</v>
      </c>
      <c r="D7" t="s">
        <v>93</v>
      </c>
      <c r="E7" t="s">
        <v>94</v>
      </c>
      <c r="F7" t="s">
        <v>76</v>
      </c>
      <c r="G7">
        <v>122</v>
      </c>
      <c r="H7">
        <v>0</v>
      </c>
      <c r="I7" t="str">
        <f>OutputTable[[#This Row],[ProjectName]]&amp;OutputTable[[#This Row],[Name]]&amp;OutputTable[[#This Row],[Type]]&amp;OutputTable[[#This Row],[Source]]</f>
        <v>Robinhood CashDropCashOrder.NumberInNumber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120.8</v>
      </c>
      <c r="L7" cm="1">
        <f t="array" ref="L7">IFERROR(_xlfn.STDEV.S(IF((OutputTable[GroupByKey]=OutputTable[[#This Row],[GroupByKey]]),(OutputTable[GroupByKey]=OutputTable[[#This Row],[GroupByKey]])*OutputTable[RecordedValue])),0)</f>
        <v>6.8702256149270671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8.5305118055922549</v>
      </c>
      <c r="O7" cm="1">
        <f t="array" ref="O7">MIN(IF((OutputTable[GroupByKey]=OutputTable[[#This Row],[GroupByKey]]),(OutputTable[GroupByKey]=OutputTable[[#This Row],[GroupByKey]])*OutputTable[RecordedValue]))</f>
        <v>111</v>
      </c>
      <c r="P7" cm="1">
        <f t="array" ref="P7">MAX(IF((OutputTable[GroupByKey]=OutputTable[[#This Row],[GroupByKey]]),(OutputTable[GroupByKey]=OutputTable[[#This Row],[GroupByKey]])*OutputTable[RecordedValue]))</f>
        <v>127</v>
      </c>
    </row>
    <row r="8" spans="1:16" x14ac:dyDescent="0.3">
      <c r="A8" t="s">
        <v>68</v>
      </c>
      <c r="B8" t="s">
        <v>70</v>
      </c>
      <c r="C8">
        <v>2</v>
      </c>
      <c r="D8" t="s">
        <v>95</v>
      </c>
      <c r="E8" t="s">
        <v>96</v>
      </c>
      <c r="F8" t="s">
        <v>76</v>
      </c>
      <c r="G8">
        <v>111</v>
      </c>
      <c r="H8">
        <v>0</v>
      </c>
      <c r="I8" t="str">
        <f>OutputTable[[#This Row],[ProjectName]]&amp;OutputTable[[#This Row],[Name]]&amp;OutputTable[[#This Row],[Type]]&amp;OutputTable[[#This Row],[Source]]</f>
        <v>Robinhood CashDropCashOrder.NumberOutNumber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113.2</v>
      </c>
      <c r="L8" cm="1">
        <f t="array" ref="L8">IFERROR(_xlfn.STDEV.S(IF((OutputTable[GroupByKey]=OutputTable[[#This Row],[GroupByKey]]),(OutputTable[GroupByKey]=OutputTable[[#This Row],[GroupByKey]])*OutputTable[RecordedValue])),0)</f>
        <v>6.9785385289471602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8" cm="1">
        <f t="array" ref="O8">MIN(IF((OutputTable[GroupByKey]=OutputTable[[#This Row],[GroupByKey]]),(OutputTable[GroupByKey]=OutputTable[[#This Row],[GroupByKey]])*OutputTable[RecordedValue]))</f>
        <v>106</v>
      </c>
      <c r="P8" cm="1">
        <f t="array" ref="P8">MAX(IF((OutputTable[GroupByKey]=OutputTable[[#This Row],[GroupByKey]]),(OutputTable[GroupByKey]=OutputTable[[#This Row],[GroupByKey]])*OutputTable[RecordedValue]))</f>
        <v>122</v>
      </c>
    </row>
    <row r="9" spans="1:16" x14ac:dyDescent="0.3">
      <c r="A9" t="s">
        <v>68</v>
      </c>
      <c r="B9" t="s">
        <v>70</v>
      </c>
      <c r="C9">
        <v>2</v>
      </c>
      <c r="D9" t="s">
        <v>97</v>
      </c>
      <c r="E9" t="s">
        <v>98</v>
      </c>
      <c r="F9" t="s">
        <v>86</v>
      </c>
      <c r="G9">
        <v>122</v>
      </c>
      <c r="H9">
        <v>0</v>
      </c>
      <c r="I9" t="str">
        <f>OutputTable[[#This Row],[ProjectName]]&amp;OutputTable[[#This Row],[Name]]&amp;OutputTable[[#This Row],[Type]]&amp;OutputTable[[#This Row],[Source]]</f>
        <v>Robinhood CashDropCourier.NumberSeizedTotal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120.6</v>
      </c>
      <c r="L9" cm="1">
        <f t="array" ref="L9">IFERROR(_xlfn.STDEV.S(IF((OutputTable[GroupByKey]=OutputTable[[#This Row],[GroupByKey]]),(OutputTable[GroupByKey]=OutputTable[[#This Row],[GroupByKey]])*OutputTable[RecordedValue])),0)</f>
        <v>6.6558245169174945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8.2642976810184106</v>
      </c>
      <c r="O9" cm="1">
        <f t="array" ref="O9">MIN(IF((OutputTable[GroupByKey]=OutputTable[[#This Row],[GroupByKey]]),(OutputTable[GroupByKey]=OutputTable[[#This Row],[GroupByKey]])*OutputTable[RecordedValue]))</f>
        <v>111</v>
      </c>
      <c r="P9" cm="1">
        <f t="array" ref="P9">MAX(IF((OutputTable[GroupByKey]=OutputTable[[#This Row],[GroupByKey]]),(OutputTable[GroupByKey]=OutputTable[[#This Row],[GroupByKey]])*OutputTable[RecordedValue]))</f>
        <v>127</v>
      </c>
    </row>
    <row r="10" spans="1:16" x14ac:dyDescent="0.3">
      <c r="A10" t="s">
        <v>68</v>
      </c>
      <c r="B10" t="s">
        <v>70</v>
      </c>
      <c r="C10">
        <v>2</v>
      </c>
      <c r="D10" t="s">
        <v>99</v>
      </c>
      <c r="E10" t="s">
        <v>100</v>
      </c>
      <c r="F10" t="s">
        <v>86</v>
      </c>
      <c r="G10">
        <v>8.7871857308807394E-2</v>
      </c>
      <c r="H10">
        <v>0</v>
      </c>
      <c r="I10" t="str">
        <f>OutputTable[[#This Row],[ProjectName]]&amp;OutputTable[[#This Row],[Name]]&amp;OutputTable[[#This Row],[Type]]&amp;OutputTable[[#This Row],[Source]]</f>
        <v>Robinhood CashDropCourier.ScheduledUtilizationScheduled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8.6853217976290573E-2</v>
      </c>
      <c r="L10" cm="1">
        <f t="array" ref="L10">IFERROR(_xlfn.STDEV.S(IF((OutputTable[GroupByKey]=OutputTable[[#This Row],[GroupByKey]]),(OutputTable[GroupByKey]=OutputTable[[#This Row],[GroupByKey]])*OutputTable[RecordedValue])),0)</f>
        <v>3.9889271851271052E-3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4.9529072772286067E-3</v>
      </c>
      <c r="O10" cm="1">
        <f t="array" ref="O10">MIN(IF((OutputTable[GroupByKey]=OutputTable[[#This Row],[GroupByKey]]),(OutputTable[GroupByKey]=OutputTable[[#This Row],[GroupByKey]])*OutputTable[RecordedValue]))</f>
        <v>8.1975844987714999E-2</v>
      </c>
      <c r="P10" cm="1">
        <f t="array" ref="P10">MAX(IF((OutputTable[GroupByKey]=OutputTable[[#This Row],[GroupByKey]]),(OutputTable[GroupByKey]=OutputTable[[#This Row],[GroupByKey]])*OutputTable[RecordedValue]))</f>
        <v>9.2207333756806995E-2</v>
      </c>
    </row>
    <row r="11" spans="1:16" x14ac:dyDescent="0.3">
      <c r="A11" t="s">
        <v>68</v>
      </c>
      <c r="B11" t="s">
        <v>70</v>
      </c>
      <c r="C11">
        <v>2</v>
      </c>
      <c r="D11" t="s">
        <v>101</v>
      </c>
      <c r="E11" t="s">
        <v>96</v>
      </c>
      <c r="F11" t="s">
        <v>102</v>
      </c>
      <c r="G11">
        <v>111</v>
      </c>
      <c r="H11">
        <v>0</v>
      </c>
      <c r="I11" t="str">
        <f>OutputTable[[#This Row],[ProjectName]]&amp;OutputTable[[#This Row],[Name]]&amp;OutputTable[[#This Row],[Type]]&amp;OutputTable[[#This Row],[Source]]</f>
        <v>Robinhood CashDropSystem.NumberOutNumber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113.2</v>
      </c>
      <c r="L11" cm="1">
        <f t="array" ref="L11">IFERROR(_xlfn.STDEV.S(IF((OutputTable[GroupByKey]=OutputTable[[#This Row],[GroupByKey]]),(OutputTable[GroupByKey]=OutputTable[[#This Row],[GroupByKey]])*OutputTable[RecordedValue])),0)</f>
        <v>6.9785385289471602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11" cm="1">
        <f t="array" ref="O11">MIN(IF((OutputTable[GroupByKey]=OutputTable[[#This Row],[GroupByKey]]),(OutputTable[GroupByKey]=OutputTable[[#This Row],[GroupByKey]])*OutputTable[RecordedValue]))</f>
        <v>106</v>
      </c>
      <c r="P11" cm="1">
        <f t="array" ref="P11">MAX(IF((OutputTable[GroupByKey]=OutputTable[[#This Row],[GroupByKey]]),(OutputTable[GroupByKey]=OutputTable[[#This Row],[GroupByKey]])*OutputTable[RecordedValue]))</f>
        <v>122</v>
      </c>
    </row>
    <row r="12" spans="1:16" x14ac:dyDescent="0.3">
      <c r="A12" t="s">
        <v>68</v>
      </c>
      <c r="B12" t="s">
        <v>70</v>
      </c>
      <c r="C12">
        <v>3</v>
      </c>
      <c r="D12" t="s">
        <v>93</v>
      </c>
      <c r="E12" t="s">
        <v>94</v>
      </c>
      <c r="F12" t="s">
        <v>76</v>
      </c>
      <c r="G12">
        <v>117</v>
      </c>
      <c r="H12">
        <v>0</v>
      </c>
      <c r="I12" t="str">
        <f>OutputTable[[#This Row],[ProjectName]]&amp;OutputTable[[#This Row],[Name]]&amp;OutputTable[[#This Row],[Type]]&amp;OutputTable[[#This Row],[Source]]</f>
        <v>Robinhood CashDropCashOrder.NumberInNumber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120.8</v>
      </c>
      <c r="L12" cm="1">
        <f t="array" ref="L12">IFERROR(_xlfn.STDEV.S(IF((OutputTable[GroupByKey]=OutputTable[[#This Row],[GroupByKey]]),(OutputTable[GroupByKey]=OutputTable[[#This Row],[GroupByKey]])*OutputTable[RecordedValue])),0)</f>
        <v>6.8702256149270671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8.5305118055922549</v>
      </c>
      <c r="O12" cm="1">
        <f t="array" ref="O12">MIN(IF((OutputTable[GroupByKey]=OutputTable[[#This Row],[GroupByKey]]),(OutputTable[GroupByKey]=OutputTable[[#This Row],[GroupByKey]])*OutputTable[RecordedValue]))</f>
        <v>111</v>
      </c>
      <c r="P12" cm="1">
        <f t="array" ref="P12">MAX(IF((OutputTable[GroupByKey]=OutputTable[[#This Row],[GroupByKey]]),(OutputTable[GroupByKey]=OutputTable[[#This Row],[GroupByKey]])*OutputTable[RecordedValue]))</f>
        <v>127</v>
      </c>
    </row>
    <row r="13" spans="1:16" x14ac:dyDescent="0.3">
      <c r="A13" t="s">
        <v>68</v>
      </c>
      <c r="B13" t="s">
        <v>70</v>
      </c>
      <c r="C13">
        <v>3</v>
      </c>
      <c r="D13" t="s">
        <v>95</v>
      </c>
      <c r="E13" t="s">
        <v>96</v>
      </c>
      <c r="F13" t="s">
        <v>76</v>
      </c>
      <c r="G13">
        <v>108</v>
      </c>
      <c r="H13">
        <v>0</v>
      </c>
      <c r="I13" t="str">
        <f>OutputTable[[#This Row],[ProjectName]]&amp;OutputTable[[#This Row],[Name]]&amp;OutputTable[[#This Row],[Type]]&amp;OutputTable[[#This Row],[Source]]</f>
        <v>Robinhood CashDropCashOrder.NumberOutNumber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113.2</v>
      </c>
      <c r="L13" cm="1">
        <f t="array" ref="L13">IFERROR(_xlfn.STDEV.S(IF((OutputTable[GroupByKey]=OutputTable[[#This Row],[GroupByKey]]),(OutputTable[GroupByKey]=OutputTable[[#This Row],[GroupByKey]])*OutputTable[RecordedValue])),0)</f>
        <v>6.9785385289471602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13" cm="1">
        <f t="array" ref="O13">MIN(IF((OutputTable[GroupByKey]=OutputTable[[#This Row],[GroupByKey]]),(OutputTable[GroupByKey]=OutputTable[[#This Row],[GroupByKey]])*OutputTable[RecordedValue]))</f>
        <v>106</v>
      </c>
      <c r="P13" cm="1">
        <f t="array" ref="P13">MAX(IF((OutputTable[GroupByKey]=OutputTable[[#This Row],[GroupByKey]]),(OutputTable[GroupByKey]=OutputTable[[#This Row],[GroupByKey]])*OutputTable[RecordedValue]))</f>
        <v>122</v>
      </c>
    </row>
    <row r="14" spans="1:16" x14ac:dyDescent="0.3">
      <c r="A14" t="s">
        <v>68</v>
      </c>
      <c r="B14" t="s">
        <v>70</v>
      </c>
      <c r="C14">
        <v>3</v>
      </c>
      <c r="D14" t="s">
        <v>97</v>
      </c>
      <c r="E14" t="s">
        <v>98</v>
      </c>
      <c r="F14" t="s">
        <v>86</v>
      </c>
      <c r="G14">
        <v>117</v>
      </c>
      <c r="H14">
        <v>0</v>
      </c>
      <c r="I14" t="str">
        <f>OutputTable[[#This Row],[ProjectName]]&amp;OutputTable[[#This Row],[Name]]&amp;OutputTable[[#This Row],[Type]]&amp;OutputTable[[#This Row],[Source]]</f>
        <v>Robinhood CashDropCourier.NumberSeizedTotal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120.6</v>
      </c>
      <c r="L14" cm="1">
        <f t="array" ref="L14">IFERROR(_xlfn.STDEV.S(IF((OutputTable[GroupByKey]=OutputTable[[#This Row],[GroupByKey]]),(OutputTable[GroupByKey]=OutputTable[[#This Row],[GroupByKey]])*OutputTable[RecordedValue])),0)</f>
        <v>6.6558245169174945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8.2642976810184106</v>
      </c>
      <c r="O14" cm="1">
        <f t="array" ref="O14">MIN(IF((OutputTable[GroupByKey]=OutputTable[[#This Row],[GroupByKey]]),(OutputTable[GroupByKey]=OutputTable[[#This Row],[GroupByKey]])*OutputTable[RecordedValue]))</f>
        <v>111</v>
      </c>
      <c r="P14" cm="1">
        <f t="array" ref="P14">MAX(IF((OutputTable[GroupByKey]=OutputTable[[#This Row],[GroupByKey]]),(OutputTable[GroupByKey]=OutputTable[[#This Row],[GroupByKey]])*OutputTable[RecordedValue]))</f>
        <v>127</v>
      </c>
    </row>
    <row r="15" spans="1:16" x14ac:dyDescent="0.3">
      <c r="A15" t="s">
        <v>68</v>
      </c>
      <c r="B15" t="s">
        <v>70</v>
      </c>
      <c r="C15">
        <v>3</v>
      </c>
      <c r="D15" t="s">
        <v>99</v>
      </c>
      <c r="E15" t="s">
        <v>100</v>
      </c>
      <c r="F15" t="s">
        <v>86</v>
      </c>
      <c r="G15">
        <v>8.3980070803799906E-2</v>
      </c>
      <c r="H15">
        <v>0</v>
      </c>
      <c r="I15" t="str">
        <f>OutputTable[[#This Row],[ProjectName]]&amp;OutputTable[[#This Row],[Name]]&amp;OutputTable[[#This Row],[Type]]&amp;OutputTable[[#This Row],[Source]]</f>
        <v>Robinhood CashDropCourier.ScheduledUtilizationScheduled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8.6853217976290573E-2</v>
      </c>
      <c r="L15" cm="1">
        <f t="array" ref="L15">IFERROR(_xlfn.STDEV.S(IF((OutputTable[GroupByKey]=OutputTable[[#This Row],[GroupByKey]]),(OutputTable[GroupByKey]=OutputTable[[#This Row],[GroupByKey]])*OutputTable[RecordedValue])),0)</f>
        <v>3.9889271851271052E-3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4.9529072772286067E-3</v>
      </c>
      <c r="O15" cm="1">
        <f t="array" ref="O15">MIN(IF((OutputTable[GroupByKey]=OutputTable[[#This Row],[GroupByKey]]),(OutputTable[GroupByKey]=OutputTable[[#This Row],[GroupByKey]])*OutputTable[RecordedValue]))</f>
        <v>8.1975844987714999E-2</v>
      </c>
      <c r="P15" cm="1">
        <f t="array" ref="P15">MAX(IF((OutputTable[GroupByKey]=OutputTable[[#This Row],[GroupByKey]]),(OutputTable[GroupByKey]=OutputTable[[#This Row],[GroupByKey]])*OutputTable[RecordedValue]))</f>
        <v>9.2207333756806995E-2</v>
      </c>
    </row>
    <row r="16" spans="1:16" x14ac:dyDescent="0.3">
      <c r="A16" t="s">
        <v>68</v>
      </c>
      <c r="B16" t="s">
        <v>70</v>
      </c>
      <c r="C16">
        <v>3</v>
      </c>
      <c r="D16" t="s">
        <v>101</v>
      </c>
      <c r="E16" t="s">
        <v>96</v>
      </c>
      <c r="F16" t="s">
        <v>102</v>
      </c>
      <c r="G16">
        <v>108</v>
      </c>
      <c r="H16">
        <v>0</v>
      </c>
      <c r="I16" t="str">
        <f>OutputTable[[#This Row],[ProjectName]]&amp;OutputTable[[#This Row],[Name]]&amp;OutputTable[[#This Row],[Type]]&amp;OutputTable[[#This Row],[Source]]</f>
        <v>Robinhood CashDropSystem.NumberOutNumber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113.2</v>
      </c>
      <c r="L16" cm="1">
        <f t="array" ref="L16">IFERROR(_xlfn.STDEV.S(IF((OutputTable[GroupByKey]=OutputTable[[#This Row],[GroupByKey]]),(OutputTable[GroupByKey]=OutputTable[[#This Row],[GroupByKey]])*OutputTable[RecordedValue])),0)</f>
        <v>6.9785385289471602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16" cm="1">
        <f t="array" ref="O16">MIN(IF((OutputTable[GroupByKey]=OutputTable[[#This Row],[GroupByKey]]),(OutputTable[GroupByKey]=OutputTable[[#This Row],[GroupByKey]])*OutputTable[RecordedValue]))</f>
        <v>106</v>
      </c>
      <c r="P16" cm="1">
        <f t="array" ref="P16">MAX(IF((OutputTable[GroupByKey]=OutputTable[[#This Row],[GroupByKey]]),(OutputTable[GroupByKey]=OutputTable[[#This Row],[GroupByKey]])*OutputTable[RecordedValue]))</f>
        <v>122</v>
      </c>
    </row>
    <row r="17" spans="1:16" x14ac:dyDescent="0.3">
      <c r="A17" t="s">
        <v>68</v>
      </c>
      <c r="B17" t="s">
        <v>70</v>
      </c>
      <c r="C17">
        <v>4</v>
      </c>
      <c r="D17" t="s">
        <v>93</v>
      </c>
      <c r="E17" t="s">
        <v>94</v>
      </c>
      <c r="F17" t="s">
        <v>76</v>
      </c>
      <c r="G17">
        <v>127</v>
      </c>
      <c r="H17">
        <v>0</v>
      </c>
      <c r="I17" t="str">
        <f>OutputTable[[#This Row],[ProjectName]]&amp;OutputTable[[#This Row],[Name]]&amp;OutputTable[[#This Row],[Type]]&amp;OutputTable[[#This Row],[Source]]</f>
        <v>Robinhood CashDropCashOrder.NumberInNumber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120.8</v>
      </c>
      <c r="L17" cm="1">
        <f t="array" ref="L17">IFERROR(_xlfn.STDEV.S(IF((OutputTable[GroupByKey]=OutputTable[[#This Row],[GroupByKey]]),(OutputTable[GroupByKey]=OutputTable[[#This Row],[GroupByKey]])*OutputTable[RecordedValue])),0)</f>
        <v>6.8702256149270671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8.5305118055922549</v>
      </c>
      <c r="O17" cm="1">
        <f t="array" ref="O17">MIN(IF((OutputTable[GroupByKey]=OutputTable[[#This Row],[GroupByKey]]),(OutputTable[GroupByKey]=OutputTable[[#This Row],[GroupByKey]])*OutputTable[RecordedValue]))</f>
        <v>111</v>
      </c>
      <c r="P17" cm="1">
        <f t="array" ref="P17">MAX(IF((OutputTable[GroupByKey]=OutputTable[[#This Row],[GroupByKey]]),(OutputTable[GroupByKey]=OutputTable[[#This Row],[GroupByKey]])*OutputTable[RecordedValue]))</f>
        <v>127</v>
      </c>
    </row>
    <row r="18" spans="1:16" x14ac:dyDescent="0.3">
      <c r="A18" t="s">
        <v>68</v>
      </c>
      <c r="B18" t="s">
        <v>70</v>
      </c>
      <c r="C18">
        <v>4</v>
      </c>
      <c r="D18" t="s">
        <v>95</v>
      </c>
      <c r="E18" t="s">
        <v>96</v>
      </c>
      <c r="F18" t="s">
        <v>76</v>
      </c>
      <c r="G18">
        <v>122</v>
      </c>
      <c r="H18">
        <v>0</v>
      </c>
      <c r="I18" t="str">
        <f>OutputTable[[#This Row],[ProjectName]]&amp;OutputTable[[#This Row],[Name]]&amp;OutputTable[[#This Row],[Type]]&amp;OutputTable[[#This Row],[Source]]</f>
        <v>Robinhood CashDropCashOrder.NumberOutNumber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113.2</v>
      </c>
      <c r="L18" cm="1">
        <f t="array" ref="L18">IFERROR(_xlfn.STDEV.S(IF((OutputTable[GroupByKey]=OutputTable[[#This Row],[GroupByKey]]),(OutputTable[GroupByKey]=OutputTable[[#This Row],[GroupByKey]])*OutputTable[RecordedValue])),0)</f>
        <v>6.9785385289471602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18" cm="1">
        <f t="array" ref="O18">MIN(IF((OutputTable[GroupByKey]=OutputTable[[#This Row],[GroupByKey]]),(OutputTable[GroupByKey]=OutputTable[[#This Row],[GroupByKey]])*OutputTable[RecordedValue]))</f>
        <v>106</v>
      </c>
      <c r="P18" cm="1">
        <f t="array" ref="P18">MAX(IF((OutputTable[GroupByKey]=OutputTable[[#This Row],[GroupByKey]]),(OutputTable[GroupByKey]=OutputTable[[#This Row],[GroupByKey]])*OutputTable[RecordedValue]))</f>
        <v>122</v>
      </c>
    </row>
    <row r="19" spans="1:16" x14ac:dyDescent="0.3">
      <c r="A19" t="s">
        <v>68</v>
      </c>
      <c r="B19" t="s">
        <v>70</v>
      </c>
      <c r="C19">
        <v>4</v>
      </c>
      <c r="D19" t="s">
        <v>97</v>
      </c>
      <c r="E19" t="s">
        <v>98</v>
      </c>
      <c r="F19" t="s">
        <v>86</v>
      </c>
      <c r="G19">
        <v>127</v>
      </c>
      <c r="H19">
        <v>0</v>
      </c>
      <c r="I19" t="str">
        <f>OutputTable[[#This Row],[ProjectName]]&amp;OutputTable[[#This Row],[Name]]&amp;OutputTable[[#This Row],[Type]]&amp;OutputTable[[#This Row],[Source]]</f>
        <v>Robinhood CashDropCourier.NumberSeizedTotal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120.6</v>
      </c>
      <c r="L19" cm="1">
        <f t="array" ref="L19">IFERROR(_xlfn.STDEV.S(IF((OutputTable[GroupByKey]=OutputTable[[#This Row],[GroupByKey]]),(OutputTable[GroupByKey]=OutputTable[[#This Row],[GroupByKey]])*OutputTable[RecordedValue])),0)</f>
        <v>6.6558245169174945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8.2642976810184106</v>
      </c>
      <c r="O19" cm="1">
        <f t="array" ref="O19">MIN(IF((OutputTable[GroupByKey]=OutputTable[[#This Row],[GroupByKey]]),(OutputTable[GroupByKey]=OutputTable[[#This Row],[GroupByKey]])*OutputTable[RecordedValue]))</f>
        <v>111</v>
      </c>
      <c r="P19" cm="1">
        <f t="array" ref="P19">MAX(IF((OutputTable[GroupByKey]=OutputTable[[#This Row],[GroupByKey]]),(OutputTable[GroupByKey]=OutputTable[[#This Row],[GroupByKey]])*OutputTable[RecordedValue]))</f>
        <v>127</v>
      </c>
    </row>
    <row r="20" spans="1:16" x14ac:dyDescent="0.3">
      <c r="A20" t="s">
        <v>68</v>
      </c>
      <c r="B20" t="s">
        <v>70</v>
      </c>
      <c r="C20">
        <v>4</v>
      </c>
      <c r="D20" t="s">
        <v>99</v>
      </c>
      <c r="E20" t="s">
        <v>100</v>
      </c>
      <c r="F20" t="s">
        <v>86</v>
      </c>
      <c r="G20">
        <v>9.2207333756806995E-2</v>
      </c>
      <c r="H20">
        <v>0</v>
      </c>
      <c r="I20" t="str">
        <f>OutputTable[[#This Row],[ProjectName]]&amp;OutputTable[[#This Row],[Name]]&amp;OutputTable[[#This Row],[Type]]&amp;OutputTable[[#This Row],[Source]]</f>
        <v>Robinhood CashDropCourier.ScheduledUtilizationScheduled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8.6853217976290573E-2</v>
      </c>
      <c r="L20" cm="1">
        <f t="array" ref="L20">IFERROR(_xlfn.STDEV.S(IF((OutputTable[GroupByKey]=OutputTable[[#This Row],[GroupByKey]]),(OutputTable[GroupByKey]=OutputTable[[#This Row],[GroupByKey]])*OutputTable[RecordedValue])),0)</f>
        <v>3.9889271851271052E-3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4.9529072772286067E-3</v>
      </c>
      <c r="O20" cm="1">
        <f t="array" ref="O20">MIN(IF((OutputTable[GroupByKey]=OutputTable[[#This Row],[GroupByKey]]),(OutputTable[GroupByKey]=OutputTable[[#This Row],[GroupByKey]])*OutputTable[RecordedValue]))</f>
        <v>8.1975844987714999E-2</v>
      </c>
      <c r="P20" cm="1">
        <f t="array" ref="P20">MAX(IF((OutputTable[GroupByKey]=OutputTable[[#This Row],[GroupByKey]]),(OutputTable[GroupByKey]=OutputTable[[#This Row],[GroupByKey]])*OutputTable[RecordedValue]))</f>
        <v>9.2207333756806995E-2</v>
      </c>
    </row>
    <row r="21" spans="1:16" x14ac:dyDescent="0.3">
      <c r="A21" t="s">
        <v>68</v>
      </c>
      <c r="B21" t="s">
        <v>70</v>
      </c>
      <c r="C21">
        <v>4</v>
      </c>
      <c r="D21" t="s">
        <v>101</v>
      </c>
      <c r="E21" t="s">
        <v>96</v>
      </c>
      <c r="F21" t="s">
        <v>102</v>
      </c>
      <c r="G21">
        <v>122</v>
      </c>
      <c r="H21">
        <v>0</v>
      </c>
      <c r="I21" t="str">
        <f>OutputTable[[#This Row],[ProjectName]]&amp;OutputTable[[#This Row],[Name]]&amp;OutputTable[[#This Row],[Type]]&amp;OutputTable[[#This Row],[Source]]</f>
        <v>Robinhood CashDropSystem.NumberOutNumber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113.2</v>
      </c>
      <c r="L21" cm="1">
        <f t="array" ref="L21">IFERROR(_xlfn.STDEV.S(IF((OutputTable[GroupByKey]=OutputTable[[#This Row],[GroupByKey]]),(OutputTable[GroupByKey]=OutputTable[[#This Row],[GroupByKey]])*OutputTable[RecordedValue])),0)</f>
        <v>6.9785385289471602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21" cm="1">
        <f t="array" ref="O21">MIN(IF((OutputTable[GroupByKey]=OutputTable[[#This Row],[GroupByKey]]),(OutputTable[GroupByKey]=OutputTable[[#This Row],[GroupByKey]])*OutputTable[RecordedValue]))</f>
        <v>106</v>
      </c>
      <c r="P21" cm="1">
        <f t="array" ref="P21">MAX(IF((OutputTable[GroupByKey]=OutputTable[[#This Row],[GroupByKey]]),(OutputTable[GroupByKey]=OutputTable[[#This Row],[GroupByKey]])*OutputTable[RecordedValue]))</f>
        <v>122</v>
      </c>
    </row>
    <row r="22" spans="1:16" x14ac:dyDescent="0.3">
      <c r="A22" t="s">
        <v>68</v>
      </c>
      <c r="B22" t="s">
        <v>70</v>
      </c>
      <c r="C22">
        <v>5</v>
      </c>
      <c r="D22" t="s">
        <v>93</v>
      </c>
      <c r="E22" t="s">
        <v>94</v>
      </c>
      <c r="F22" t="s">
        <v>76</v>
      </c>
      <c r="G22">
        <v>127</v>
      </c>
      <c r="H22">
        <v>0</v>
      </c>
      <c r="I22" t="str">
        <f>OutputTable[[#This Row],[ProjectName]]&amp;OutputTable[[#This Row],[Name]]&amp;OutputTable[[#This Row],[Type]]&amp;OutputTable[[#This Row],[Source]]</f>
        <v>Robinhood CashDropCashOrder.NumberInNumber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120.8</v>
      </c>
      <c r="L22" cm="1">
        <f t="array" ref="L22">IFERROR(_xlfn.STDEV.S(IF((OutputTable[GroupByKey]=OutputTable[[#This Row],[GroupByKey]]),(OutputTable[GroupByKey]=OutputTable[[#This Row],[GroupByKey]])*OutputTable[RecordedValue])),0)</f>
        <v>6.8702256149270671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8.5305118055922549</v>
      </c>
      <c r="O22" cm="1">
        <f t="array" ref="O22">MIN(IF((OutputTable[GroupByKey]=OutputTable[[#This Row],[GroupByKey]]),(OutputTable[GroupByKey]=OutputTable[[#This Row],[GroupByKey]])*OutputTable[RecordedValue]))</f>
        <v>111</v>
      </c>
      <c r="P22" cm="1">
        <f t="array" ref="P22">MAX(IF((OutputTable[GroupByKey]=OutputTable[[#This Row],[GroupByKey]]),(OutputTable[GroupByKey]=OutputTable[[#This Row],[GroupByKey]])*OutputTable[RecordedValue]))</f>
        <v>127</v>
      </c>
    </row>
    <row r="23" spans="1:16" x14ac:dyDescent="0.3">
      <c r="A23" t="s">
        <v>68</v>
      </c>
      <c r="B23" t="s">
        <v>70</v>
      </c>
      <c r="C23">
        <v>5</v>
      </c>
      <c r="D23" t="s">
        <v>95</v>
      </c>
      <c r="E23" t="s">
        <v>96</v>
      </c>
      <c r="F23" t="s">
        <v>76</v>
      </c>
      <c r="G23">
        <v>119</v>
      </c>
      <c r="H23">
        <v>0</v>
      </c>
      <c r="I23" t="str">
        <f>OutputTable[[#This Row],[ProjectName]]&amp;OutputTable[[#This Row],[Name]]&amp;OutputTable[[#This Row],[Type]]&amp;OutputTable[[#This Row],[Source]]</f>
        <v>Robinhood CashDropCashOrder.NumberOutNumber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113.2</v>
      </c>
      <c r="L23" cm="1">
        <f t="array" ref="L23">IFERROR(_xlfn.STDEV.S(IF((OutputTable[GroupByKey]=OutputTable[[#This Row],[GroupByKey]]),(OutputTable[GroupByKey]=OutputTable[[#This Row],[GroupByKey]])*OutputTable[RecordedValue])),0)</f>
        <v>6.9785385289471602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23" cm="1">
        <f t="array" ref="O23">MIN(IF((OutputTable[GroupByKey]=OutputTable[[#This Row],[GroupByKey]]),(OutputTable[GroupByKey]=OutputTable[[#This Row],[GroupByKey]])*OutputTable[RecordedValue]))</f>
        <v>106</v>
      </c>
      <c r="P23" cm="1">
        <f t="array" ref="P23">MAX(IF((OutputTable[GroupByKey]=OutputTable[[#This Row],[GroupByKey]]),(OutputTable[GroupByKey]=OutputTable[[#This Row],[GroupByKey]])*OutputTable[RecordedValue]))</f>
        <v>122</v>
      </c>
    </row>
    <row r="24" spans="1:16" x14ac:dyDescent="0.3">
      <c r="A24" t="s">
        <v>68</v>
      </c>
      <c r="B24" t="s">
        <v>70</v>
      </c>
      <c r="C24">
        <v>5</v>
      </c>
      <c r="D24" t="s">
        <v>97</v>
      </c>
      <c r="E24" t="s">
        <v>98</v>
      </c>
      <c r="F24" t="s">
        <v>86</v>
      </c>
      <c r="G24">
        <v>126</v>
      </c>
      <c r="H24">
        <v>0</v>
      </c>
      <c r="I24" t="str">
        <f>OutputTable[[#This Row],[ProjectName]]&amp;OutputTable[[#This Row],[Name]]&amp;OutputTable[[#This Row],[Type]]&amp;OutputTable[[#This Row],[Source]]</f>
        <v>Robinhood CashDropCourier.NumberSeizedTotal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120.6</v>
      </c>
      <c r="L24" cm="1">
        <f t="array" ref="L24">IFERROR(_xlfn.STDEV.S(IF((OutputTable[GroupByKey]=OutputTable[[#This Row],[GroupByKey]]),(OutputTable[GroupByKey]=OutputTable[[#This Row],[GroupByKey]])*OutputTable[RecordedValue])),0)</f>
        <v>6.6558245169174945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8.2642976810184106</v>
      </c>
      <c r="O24" cm="1">
        <f t="array" ref="O24">MIN(IF((OutputTable[GroupByKey]=OutputTable[[#This Row],[GroupByKey]]),(OutputTable[GroupByKey]=OutputTable[[#This Row],[GroupByKey]])*OutputTable[RecordedValue]))</f>
        <v>111</v>
      </c>
      <c r="P24" cm="1">
        <f t="array" ref="P24">MAX(IF((OutputTable[GroupByKey]=OutputTable[[#This Row],[GroupByKey]]),(OutputTable[GroupByKey]=OutputTable[[#This Row],[GroupByKey]])*OutputTable[RecordedValue]))</f>
        <v>127</v>
      </c>
    </row>
    <row r="25" spans="1:16" x14ac:dyDescent="0.3">
      <c r="A25" t="s">
        <v>68</v>
      </c>
      <c r="B25" t="s">
        <v>70</v>
      </c>
      <c r="C25">
        <v>5</v>
      </c>
      <c r="D25" t="s">
        <v>99</v>
      </c>
      <c r="E25" t="s">
        <v>100</v>
      </c>
      <c r="F25" t="s">
        <v>86</v>
      </c>
      <c r="G25">
        <v>8.82309830243235E-2</v>
      </c>
      <c r="H25">
        <v>0</v>
      </c>
      <c r="I25" t="str">
        <f>OutputTable[[#This Row],[ProjectName]]&amp;OutputTable[[#This Row],[Name]]&amp;OutputTable[[#This Row],[Type]]&amp;OutputTable[[#This Row],[Source]]</f>
        <v>Robinhood CashDropCourier.ScheduledUtilizationScheduled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8.6853217976290573E-2</v>
      </c>
      <c r="L25" cm="1">
        <f t="array" ref="L25">IFERROR(_xlfn.STDEV.S(IF((OutputTable[GroupByKey]=OutputTable[[#This Row],[GroupByKey]]),(OutputTable[GroupByKey]=OutputTable[[#This Row],[GroupByKey]])*OutputTable[RecordedValue])),0)</f>
        <v>3.9889271851271052E-3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4.9529072772286067E-3</v>
      </c>
      <c r="O25" cm="1">
        <f t="array" ref="O25">MIN(IF((OutputTable[GroupByKey]=OutputTable[[#This Row],[GroupByKey]]),(OutputTable[GroupByKey]=OutputTable[[#This Row],[GroupByKey]])*OutputTable[RecordedValue]))</f>
        <v>8.1975844987714999E-2</v>
      </c>
      <c r="P25" cm="1">
        <f t="array" ref="P25">MAX(IF((OutputTable[GroupByKey]=OutputTable[[#This Row],[GroupByKey]]),(OutputTable[GroupByKey]=OutputTable[[#This Row],[GroupByKey]])*OutputTable[RecordedValue]))</f>
        <v>9.2207333756806995E-2</v>
      </c>
    </row>
    <row r="26" spans="1:16" x14ac:dyDescent="0.3">
      <c r="A26" t="s">
        <v>68</v>
      </c>
      <c r="B26" t="s">
        <v>70</v>
      </c>
      <c r="C26">
        <v>5</v>
      </c>
      <c r="D26" t="s">
        <v>101</v>
      </c>
      <c r="E26" t="s">
        <v>96</v>
      </c>
      <c r="F26" t="s">
        <v>102</v>
      </c>
      <c r="G26">
        <v>119</v>
      </c>
      <c r="H26">
        <v>0</v>
      </c>
      <c r="I26" t="str">
        <f>OutputTable[[#This Row],[ProjectName]]&amp;OutputTable[[#This Row],[Name]]&amp;OutputTable[[#This Row],[Type]]&amp;OutputTable[[#This Row],[Source]]</f>
        <v>Robinhood CashDropSystem.NumberOutNumber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113.2</v>
      </c>
      <c r="L26" cm="1">
        <f t="array" ref="L26">IFERROR(_xlfn.STDEV.S(IF((OutputTable[GroupByKey]=OutputTable[[#This Row],[GroupByKey]]),(OutputTable[GroupByKey]=OutputTable[[#This Row],[GroupByKey]])*OutputTable[RecordedValue])),0)</f>
        <v>6.9785385289471602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8.6650000514715444</v>
      </c>
      <c r="O26" cm="1">
        <f t="array" ref="O26">MIN(IF((OutputTable[GroupByKey]=OutputTable[[#This Row],[GroupByKey]]),(OutputTable[GroupByKey]=OutputTable[[#This Row],[GroupByKey]])*OutputTable[RecordedValue]))</f>
        <v>106</v>
      </c>
      <c r="P26" cm="1">
        <f t="array" ref="P26">MAX(IF((OutputTable[GroupByKey]=OutputTable[[#This Row],[GroupByKey]]),(OutputTable[GroupByKey]=OutputTable[[#This Row],[GroupByKey]])*OutputTable[RecordedValue]))</f>
        <v>122</v>
      </c>
    </row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vaatsalya brungi</cp:lastModifiedBy>
  <cp:lastPrinted>2022-03-22T10:33:10Z</cp:lastPrinted>
  <dcterms:created xsi:type="dcterms:W3CDTF">2020-06-29T21:30:31Z</dcterms:created>
  <dcterms:modified xsi:type="dcterms:W3CDTF">2025-03-29T00:37:25Z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